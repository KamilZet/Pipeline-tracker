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_DANE\_\Documents\Projekty\Wewnątrz\Pipeline-tracker\ResultsReporting\"/>
    </mc:Choice>
  </mc:AlternateContent>
  <bookViews>
    <workbookView xWindow="240" yWindow="195" windowWidth="20115" windowHeight="6915" tabRatio="707" activeTab="3"/>
  </bookViews>
  <sheets>
    <sheet name="Config" sheetId="6" r:id="rId1"/>
    <sheet name="TestData" sheetId="7" r:id="rId2"/>
    <sheet name="Industry groups" sheetId="2" r:id="rId3"/>
    <sheet name="Growth bet" sheetId="9" r:id="rId4"/>
    <sheet name="Strategic Clients" sheetId="3" r:id="rId5"/>
    <sheet name="Platinium Clients" sheetId="8" r:id="rId6"/>
    <sheet name="Sales Consultants" sheetId="4" r:id="rId7"/>
    <sheet name="Insight Consultants" sheetId="5" r:id="rId8"/>
  </sheets>
  <functionGroups builtInGroupCount="18"/>
  <definedNames>
    <definedName name="_xlnm._FilterDatabase" localSheetId="0" hidden="1">Config!$B$2:$D$14</definedName>
    <definedName name="_xlnm._FilterDatabase" localSheetId="4" hidden="1">'Strategic Clients'!$B$4:$P$6</definedName>
    <definedName name="DataGridHandle" localSheetId="3">'Growth bet'!$B$5</definedName>
    <definedName name="DataGridHandle" localSheetId="2">'Industry groups'!$B$5</definedName>
    <definedName name="DataGridHandle" localSheetId="5">'Platinium Clients'!$B$5</definedName>
    <definedName name="DataGridHandle" localSheetId="4">'Strategic Clients'!$B$6</definedName>
    <definedName name="DataGridHandle" localSheetId="1">TestData!$A$3</definedName>
    <definedName name="DataSourcefile" comment="KamilZien" localSheetId="0">Config!$C$3</definedName>
    <definedName name="LastRefreshTimestamp" localSheetId="3">'Growth bet'!$B$2</definedName>
    <definedName name="LastRefreshTimestamp" localSheetId="2">'Industry groups'!$B$2</definedName>
    <definedName name="LastRefreshTimestamp" localSheetId="5">'Platinium Clients'!$B$2</definedName>
    <definedName name="LastRefreshTimestamp" localSheetId="4">'Strategic Clients'!$B$2</definedName>
    <definedName name="RepDefGrBet">Config!$C$15</definedName>
    <definedName name="RepDefGrBetAll">Config!$C$16</definedName>
    <definedName name="RepDefIndGrp_v1" comment="KamilZien">Config!$C$6</definedName>
    <definedName name="RepDefIndGrp_v2">Config!$C$4</definedName>
    <definedName name="RepDefIndGrp_v3">Config!$C$5</definedName>
    <definedName name="RepDefIndGrp_v4">Config!$C$14</definedName>
    <definedName name="RepDefPlatCli">Config!$C$8</definedName>
    <definedName name="RepDefSlsCons">Config!$C$9</definedName>
    <definedName name="RepDefStrategicCli_v1" comment="KamilZien">Config!$C$7</definedName>
    <definedName name="RepDefStrategicCli_v2">Config!$C$13</definedName>
    <definedName name="RepDefStrategicCli_v3">Config!$C$12</definedName>
    <definedName name="RepSlsConsMulti">Config!$C$10</definedName>
  </definedNames>
  <calcPr calcId="152511" calcOnSave="0"/>
</workbook>
</file>

<file path=xl/calcChain.xml><?xml version="1.0" encoding="utf-8"?>
<calcChain xmlns="http://schemas.openxmlformats.org/spreadsheetml/2006/main">
  <c r="B16" i="6" l="1"/>
  <c r="B15" i="6"/>
  <c r="P24" i="9" l="1"/>
  <c r="P23" i="9"/>
  <c r="P22" i="9"/>
  <c r="P21" i="9"/>
  <c r="P20" i="9"/>
  <c r="P19" i="9"/>
  <c r="P18" i="9"/>
  <c r="P17" i="9"/>
  <c r="P16" i="9"/>
  <c r="P15" i="9"/>
  <c r="P14" i="9"/>
  <c r="P13" i="9"/>
  <c r="P12" i="9"/>
  <c r="P11" i="9"/>
  <c r="P10" i="9"/>
  <c r="P9" i="9"/>
  <c r="P8" i="9"/>
  <c r="P7" i="9"/>
  <c r="P6" i="9"/>
  <c r="P5" i="9"/>
  <c r="P6" i="8" l="1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5" i="8"/>
  <c r="P7" i="3"/>
  <c r="P8" i="3"/>
  <c r="P9" i="3"/>
  <c r="P10" i="3"/>
  <c r="P11" i="3"/>
  <c r="P12" i="3"/>
  <c r="P13" i="3"/>
  <c r="P14" i="3"/>
  <c r="P15" i="3"/>
  <c r="P6" i="2" l="1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5" i="2"/>
  <c r="P6" i="3"/>
  <c r="B7" i="6" l="1"/>
  <c r="B9" i="6"/>
  <c r="B14" i="6"/>
  <c r="B10" i="6"/>
  <c r="B11" i="6"/>
  <c r="B13" i="6"/>
  <c r="B5" i="6"/>
  <c r="B8" i="6"/>
  <c r="B6" i="6"/>
  <c r="B4" i="6"/>
  <c r="B12" i="6"/>
</calcChain>
</file>

<file path=xl/sharedStrings.xml><?xml version="1.0" encoding="utf-8"?>
<sst xmlns="http://schemas.openxmlformats.org/spreadsheetml/2006/main" count="448" uniqueCount="104">
  <si>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</si>
  <si>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</si>
  <si>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</si>
  <si>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</si>
  <si>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</si>
  <si>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</si>
  <si>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</si>
  <si>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</si>
  <si>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</si>
  <si>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</si>
  <si>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</si>
  <si>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</si>
  <si>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Outlook</t>
  </si>
  <si>
    <t>ROH</t>
  </si>
  <si>
    <t>INDUSTRY GROUPS</t>
  </si>
  <si>
    <t>Bazan Rafał</t>
  </si>
  <si>
    <t>Czajka Artur</t>
  </si>
  <si>
    <t>Gandziarski Marcin</t>
  </si>
  <si>
    <t>Głos Gosia</t>
  </si>
  <si>
    <t>Hebda Anna</t>
  </si>
  <si>
    <t>Krzesińska-Jagiełło Agnieszka</t>
  </si>
  <si>
    <t>Orłowska Aniela</t>
  </si>
  <si>
    <t>Rybołowicz Ewa</t>
  </si>
  <si>
    <t>Strączak Bartek</t>
  </si>
  <si>
    <t>Trzaska Adam</t>
  </si>
  <si>
    <t>CONSULTANTS</t>
  </si>
  <si>
    <t>TOTAL 2016</t>
  </si>
  <si>
    <t>wszystkie projekty potwierdzone na 100%</t>
  </si>
  <si>
    <t>wszystkie projekty, przeważone ich prawdopodobieństwem</t>
  </si>
  <si>
    <t>różnica outlook - roh daje wartość  projektów które są ofertowane ale nie potwierdzone</t>
  </si>
  <si>
    <t>Bomba Ania</t>
  </si>
  <si>
    <t>Buryma Alina</t>
  </si>
  <si>
    <t>Kawalerczyk Justyna</t>
  </si>
  <si>
    <t>Łękarska Anka</t>
  </si>
  <si>
    <t>Stępień Ania</t>
  </si>
  <si>
    <t>Sugajski Mariusz</t>
  </si>
  <si>
    <t>Trzaskoma Zuza</t>
  </si>
  <si>
    <t>Wiktorko Paulina</t>
  </si>
  <si>
    <t>Zawadzki Michał</t>
  </si>
  <si>
    <t>Oferty</t>
  </si>
  <si>
    <t>Projekty</t>
  </si>
  <si>
    <t>projekty z prawdopodobieństwem &lt;100</t>
  </si>
  <si>
    <t>projekty potwierdzone, prawdopodobieństwo = 100</t>
  </si>
  <si>
    <t>PropertyName</t>
  </si>
  <si>
    <t>PropertyValue</t>
  </si>
  <si>
    <t>DataSourcefile</t>
  </si>
  <si>
    <t>OUTLOOK</t>
  </si>
  <si>
    <t>transform sum(c.rev) 
SELECT iif(c.indgrp is null,'UNKNOWN GROUP',c.indgrp) as INDUSTRY_GROUP, c.comptype as COMPLETION_TYPE
FROM (SELECT
iif(a.[client] is null,b.[Industry Group] + '__UNKNOWN_CLIENT',b.[Industry Group])AS indgrp
,switch(
a.[month]=1,'January'
,a.[month]=2,'February'
,a.[month]=3,'March'
,a.[month]=4,'April'
,a.[month]=5,'May'
,a.[month]=6,'June'
,a.[month]=7,'July'
,a.[month]=8,'Augutst'
,a.[month]=9,'September'
,a.[month]=10,'October'
,a.[month]=11,'November'
,a.[month]=12,'December'
) as monthname
,switch(a.[probablity] = 1,'ROH',a.[probablity] &lt;= 1,'OUTLOOK',a.[client] is null,'UNKNOWN_CLIENT',true,'OTHER') AS comptype
,iif(a.[Weighted Revenue] is null,0.0,a.[Weighted Revenue]) as rev
FROM [2016 tracker$A5:M] a right outer join [config_client$b2:d] b on a.[client] = b.[client name])  AS c
where c.indgrp is not null
group by c.indgrp,c.comptype
pivot c.monthname in ('January','February','March','April','May','June','July','Augutst','September','October','November','December');</t>
  </si>
  <si>
    <t>transform sum(c.rev) 
SELECT 
iif(c.cliname is null,'UNKNOWN CLIENT',c.cliname) as CLIENT_NAME
,c.comptype as COMPLETION_TYPE
FROM (SELECT
b.[industry group] as indgrp
,b.[client name] AS cliname
,switch(
a.[month]=1,'January'
,a.[month]=2,'February'
,a.[month]=3,'March'
,a.[month]=4,'April'
,a.[month]=5,'May'
,a.[month]=6,'June'
,a.[month]=7,'July'
,a.[month]=8,'Augutst'
,a.[month]=9,'September'
,a.[month]=10,'October'
,a.[month]=11,'November'
,a.[month]=12,'December'
) as monthname
,switch(a.[probablity] = 1,'ROH',a.[probablity] &lt;= 1,'OUTLOOK') AS comptype
,a.[Weighted Revenue] as rev
FROM [2016 tracker$A5:M] a right outer join [config_client$b2:d] b on a.[client] = b.[client name])  AS c
where c.indgrp = 'Strategic'
group by c.cliname,c.comptype
pivot c.monthname in ('January','February','March','April','May','June','July','Augutst','September','October','November','December');</t>
  </si>
  <si>
    <t>transform sum(iif(compval is null,0.0,compval))
select
cliname
,comptype
from(
select [client name] as cliname,month,'roh' as comptype,sum(iif([probablity] = 1.0,[Weighted Revenue],0)) as compval
from [2016 tracker$A5:M] a right outer join [config_client$b2:d] b on a.[client] = b.[client name]
where b.[industry group] = 'strategic'
group by [client name]
,month 
UNION ALL 
select [client name] as cliname,month,'outlook',sum(iif([probablity] &lt;= 1.0,[Weighted Revenue],0)) as compval
from [2016 tracker$A5:M] a right outer join [config_client$b2:d] b on a.[client] = b.[client name]
where [industry group] = 'strategic'
group by [client name]
,month)
group by cliname,comptype
pivot month in (1,2,3,4,5,6,7,8,9,10,11,12)</t>
  </si>
  <si>
    <t>COMPLETION_TYPE</t>
  </si>
  <si>
    <t>INDUSTRY_GROUP_NAME</t>
  </si>
  <si>
    <t>Alcohol &amp; Health</t>
  </si>
  <si>
    <t>Ask Nielsen</t>
  </si>
  <si>
    <t>Confectionery &amp; hot beverages &amp; dairy &amp; tobacco</t>
  </si>
  <si>
    <t>Food &amp; beverages</t>
  </si>
  <si>
    <t>Personal care + household</t>
  </si>
  <si>
    <t>Platinum</t>
  </si>
  <si>
    <t>Strategic</t>
  </si>
  <si>
    <t>CLIENT_NAME</t>
  </si>
  <si>
    <t>SELECT
iif(a.[client] is null,b.[Industry Group] + '__UNKNOWN_CLIENT',b.[Industry Group])AS indgrp
,switch(
a.[month]=1,'January'
,a.[month]=2,'February'
,a.[month]=3,'March'
,a.[month]=4,'April'
,a.[month]=5,'May'
,a.[month]=6,'June'
,a.[month]=7,'July'
,a.[month]=8,'Augutst'
,a.[month]=9,'September'
,a.[month]=10,'October'
,a.[month]=11,'November'
,a.[month]=12,'December'
) as monthname
,switch(a.[probablity] = 1,'ROH',a.[probablity] &lt;= 1,'OUTLOOK',a.[client] is null,'UNKNOWN_CLIENT',true,'OTHER') AS comptype
,iif(a.[Weighted Revenue] is null,0.0,a.[Weighted Revenue]) as rev
FROM [2016 tracker$A5:M] a right outer join [config_client$b2:d] b on a.[client] = b.[client name]</t>
  </si>
  <si>
    <t>Retailers</t>
  </si>
  <si>
    <t>Tesco</t>
  </si>
  <si>
    <t xml:space="preserve">Łękarska Anka_x000D_
</t>
  </si>
  <si>
    <t>Food Waste_CE_ PL CZ SK HU</t>
  </si>
  <si>
    <t>Health &amp;Beauty_CE_PL CZ SK HU</t>
  </si>
  <si>
    <t>Unique products_CE_ PL CZ SK HU</t>
  </si>
  <si>
    <t>SM format evaluation</t>
  </si>
  <si>
    <t>Adtitle_online study</t>
  </si>
  <si>
    <t xml:space="preserve">TRANSFORM SUM(WEIGHTREV)
SELECT INDGRPNAME
 ,COMPLTYPE
FROM (
 SELECT 'UNKNOWN_INDUSTRY_GROUP'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,switch(a.[probablity] = 1, 'ROH', a.[probablity] &lt;= 1, 'OUTLOOK') AS COMPLTYPE
  ,a.[Weighted Revenue] AS WEIGHTREV
 FROM [2016 tracker$A5:M] a
 LEFT JOIN [config_client$b2:d] b ON a.[client] = b.[client name]
 WHERE b.[client name] IS NULL
 UNION ALL
 SELECT b.[industry group]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,switch(a.[probablity] = 1, 'ROH', a.[probablity] &lt;= 1, 'OUTLOOK') AS COMPLTYPE
  ,a.[Weighted Revenue] AS WEIGHTREV
 FROM [2016 tracker$A5:M] a
 RIGHT JOIN [config_client$b2:d] b ON a.[client] = b.[client name]
 )
GROUP BY INDGRPNAME
 ,COMPLTYPE
PIVOT MONTHNAME IN (
  'January'
  ,'February'
  ,'March'
  ,'April'
  ,'May'
  ,'June'
  ,'July'
  ,'Augutst'
  ,'September'
  ,'October'
  ,'November'
  ,'December'
  );
</t>
  </si>
  <si>
    <t>Note</t>
  </si>
  <si>
    <t>4 result sets are unioned:
1.Podsumowanie dla industry group która jest niedopasowana do tabeli referencyjnej ; uwzględnia tylko ROH
2.Podsumowanie dla industry group która jest niedopasowana do tabeli referencyjnej ; uwzględnia wszystko (OUTLOOK)
3.Podsumowanie dla industry group DOPASOWANYCH do tabeli referencyjnej ; uwzględnia tylko ROH
4.Podsumowanie dla industry group DOPASOWANYCH do tabeli referencyjnej ; uwzględnia wszystko (OUTLOOK)
,iif(a.[probablity] = 1,a.[Weighted Revenue],0) as WEIGHTREV</t>
  </si>
  <si>
    <t xml:space="preserve">TRANSFORM SUM(WEIGHTREV)
SELECT INDGRPNAME
 ,COMPLTYPE
FROM (
 SELECT 'UNKNOWN_INDUSTRY_GROUP'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,'ROH' AS COMPLTYPE
  ,iif(a.[probablity] = 1,a.[Weighted Revenue],0) as WEIGHTREV
 FROM [2016 tracker$A5:M] a
 LEFT JOIN [config_client$b2:d] b ON a.[client] = b.[client name]
 WHERE b.[client name] IS NULL
 UNION ALL
 SELECT 'UNKNOWN_INDUSTRY_GROUP'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,'OUTLOOK' AS COMPLTYPE
  ,iif(a.[probablity] &lt;= 1,a.[Weighted Revenue],0) as WEIGHTREV
 FROM [2016 tracker$A5:M] a
 LEFT JOIN [config_client$b2:d] b ON a.[client] = b.[client name]
 WHERE b.[client name] IS NULL
UNION ALL
 SELECT b.[industry group]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,'ROH' AS COMPLTYPE
,iif(a.[probablity] = 1,a.[Weighted Revenue],0) as WEIGHTREV
 FROM [2016 tracker$A5:M] a
 RIGHT JOIN [config_client$b2:d] b ON a.[client] = b.[client name]
UNION ALL
 SELECT b.[industry group]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,'OUTLOOK' AS COMPLTYPE
,iif(a.[probablity] &lt;= 1,a.[Weighted Revenue],0) as WEIGHTREV
 FROM [2016 tracker$A5:M] a
 RIGHT JOIN [config_client$b2:d] b ON a.[client] = b.[client name]
 )
GROUP BY INDGRPNAME
 ,COMPLTYPE
PIVOT MONTHNAME IN (
  'January'
  ,'February'
  ,'March'
  ,'April'
  ,'May'
  ,'June'
  ,'July'
  ,'Augutst'
  ,'September'
  ,'October'
  ,'November'
  ,'December'
  );
</t>
  </si>
  <si>
    <t>select
cliname
,comptype
from
(
select [client name] as cliname,[month],'roh' as comptype,iif([probablity] = 1.0,[Weighted Revenue],0) as compval
from [2016 tracker$A5:M] a right join [config_client$b2:d] b on a.[client] = b.[client name]
where b.[industry group] = 'Strategic'
UNION ALL 
select [client name] as cliname,[month],'outlook',iif([probablity] &lt;= 1.0,[Weighted Revenue],0) as compval
from [2016 tracker$A5:M] a right join [config_client$b2:d] b on a.[client] = b.[client name]
where b.[industry group] = 'Strategic'
)</t>
  </si>
  <si>
    <t>transform sum(compval)
select
cliname
,comptype
from
(
select [client name] as cliname,[month],'roh' as comptype,iif([probablity] = 1.0,[Weighted Revenue],0) as compval
from [2016 tracker$A5:M] a right join [config_client$b2:d] b on a.[client] = b.[client name]
where b.[industry group] = 'Strategic'
UNION ALL 
select [client name] as cliname,[month],'outlook',iif([probablity] &lt;= 1.0,[Weighted Revenue],0) as compval
from [2016 tracker$A5:M] a right join [config_client$b2:d] b on a.[client] = b.[client name]
where b.[industry group] = 'Strategic'
)
group by cliname,comptype
pivot month in (1,2,3,4,5,6,7,8,9,10,11,12)</t>
  </si>
  <si>
    <t>transform sum(iif(compval IS NULL, 0.0, compval))
SELECT cliname
 ,comptype
FROM (
 SELECT [client name] AS cliname
  ,[month]
  ,'roh' AS comptype
  ,iif([probablity] = 1.0, [Weighted Revenue], 0) AS compval
 FROM [2016 tracker$A5:M] a
 RIGHT OUTER JOIN [config_client$b2:d] b ON a.[client] = b.[client name]
 WHERE b.[industry group] = 'Platinum'
 UNION ALL
 SELECT [client name] AS cliname
  ,[month]
  ,'outlook'
  ,iif([probablity] &lt;= 1.0, [Weighted Revenue], 0) AS compval
 FROM [2016 tracker$A5:M] a
 RIGHT OUTER JOIN [config_client$b2:d] b ON a.[client] = b.[client name]
 WHERE b.[industry group] = 'Platinum'
 )
GROUP BY cliname
 ,comptype
pivot month IN (
  1
  ,2
  ,3
  ,4
  ,5
  ,6
  ,7
  ,8
  ,9
  ,10
  ,11
  ,12
  );</t>
  </si>
  <si>
    <t xml:space="preserve">transform sum(compval)
SELECT consname
 ,comptype
FROM (
 SELECT b.[name] AS consname
  ,[month]
  ,'roh' AS comptype
  ,iif([probablity] = 1.0, [Weighted Revenue], 0) AS compval
 FROM [2016 tracker$A5:M] a
 RIGHT JOIN [config_consultant_sls$b2:b] b ON a.[sales consultant] = b.[name]
 UNION ALL
 SELECT b.[name] AS consname
  ,[month]
  ,'outlook' AS comptype
  ,iif([probablity] &lt;= 1.0, [Weighted Revenue], 0) AS compval
 FROM [2016 tracker$A5:M] a
 RIGHT JOIN [config_consultant_sls$b2:b] b ON a.[sales consultant] = b.[name]
 )
GROUP BY consname
 ,comptype
pivot month IN (
  1
  ,2
  ,3
  ,4
  ,5
  ,6
  ,7
  ,8
  ,9
  ,10
  ,11
  ,12
  );
</t>
  </si>
  <si>
    <t>SELECT [Insight Consultant]
 ,len([Insight Consultant]) - len(replace([Insight Consultant], chr(10), '')) 
FROM [2016 tracker$A5:M] 
WHERE len([Insight Consultant]) - len(replace([Insight Consultant], chr(10), '')) &gt; 1</t>
  </si>
  <si>
    <t>\\WAWWINSQLP002\Dysk_D_finalny\COMMERCIAL\Organizational\Revenue\SEFF_trackers\PL SEFF Tracker_2016_withROH.xlsm</t>
  </si>
  <si>
    <t>Internal</t>
  </si>
  <si>
    <t>UNKNOWN_INDUSTRY_GROUP</t>
  </si>
  <si>
    <t>DANONE DAIRY</t>
  </si>
  <si>
    <t>outlook</t>
  </si>
  <si>
    <t>roh</t>
  </si>
  <si>
    <t>GRUPA ŻYWIEC</t>
  </si>
  <si>
    <t>LOTTE WEDEL</t>
  </si>
  <si>
    <t>SAB MILLER</t>
  </si>
  <si>
    <t>COCA-COLA</t>
  </si>
  <si>
    <t>JOHNSON &amp; JOHNSON</t>
  </si>
  <si>
    <t>MARS</t>
  </si>
  <si>
    <t>MONDELEZ</t>
  </si>
  <si>
    <t>NESTLE</t>
  </si>
  <si>
    <t>PEPSICO</t>
  </si>
  <si>
    <t>PROCTER&amp;GAMBLE</t>
  </si>
  <si>
    <t>RECKITT BENCKISER</t>
  </si>
  <si>
    <t>UNILEVER</t>
  </si>
  <si>
    <t>WRIGLEY</t>
  </si>
  <si>
    <t>In store</t>
  </si>
  <si>
    <t>In-store</t>
  </si>
  <si>
    <t>RM</t>
  </si>
  <si>
    <t>Shopper</t>
  </si>
  <si>
    <t>TRANSFORM SUM(compval)
SELECT 
grbet
,comptype
FROM (
 SELECT [Growth bet] AS grbet
  ,[month]
  ,'roh' AS comptype
  ,iif([probablity] = 1.0, [Weighted Revenue], 0) AS compval
 FROM [2016 tracker$A5:M]
 UNION ALL
 SELECT [Growth bet] AS grbet
  ,[month]
  ,'outlook'
  ,iif([probablity] &lt;= 1.0, [Weighted Revenue], 0) AS compval
 FROM [2016 tracker$A5:M]
 )
WHERE grbet is not null
GROUP BY grbet
 ,comptype
pivot month IN (
  1
  ,2
  ,3
  ,4
  ,5
  ,6
  ,7
  ,8
  ,9
  ,10
  ,11
  ,12
  );</t>
  </si>
  <si>
    <t xml:space="preserve"> SELECT [Growth bet] AS grbet
  ,[month]
  ,'roh' AS comptype
  ,iif([probablity] = 1.0, [Weighted Revenue], 0) AS compval
 FROM [2016 tracker$A5:M]
 UNION ALL
 SELECT [Growth bet] AS grbet
  ,[month]
  ,'outlook'
  ,iif([probablity] &lt;= 1.0, [Weighted Revenue], 0) AS compval
 FROM [2016 tracker$A5:M]</t>
  </si>
  <si>
    <t>C:\_DANE\_\Documents\Projekty\Wewnątrz\Pipeline-tracker\Raportowanie\PL SEFF Tracker_2016_withROH.xlsm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</si>
</sst>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z_ł_-;\-* #,##0.00\ _z_ł_-;_-* &quot;-&quot;??\ _z_ł_-;_-@_-"/>
    <numFmt numFmtId="164" formatCode="_-* #,##0\ _€_-;\-* #,##0\ _€_-;_-* &quot;-&quot;??\ _€_-;_-@_-"/>
    <numFmt numFmtId="165" formatCode="&quot;Ostatnia aktualizacja:&quot;\ yyyy/mm/dd\ hh:mm:ss"/>
  </numFmts>
  <fonts count="15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9"/>
      <name val="Arial"/>
      <family val="2"/>
      <charset val="238"/>
    </font>
    <font>
      <b/>
      <sz val="16"/>
      <name val="Arial"/>
      <family val="2"/>
      <charset val="238"/>
    </font>
    <font>
      <b/>
      <sz val="16"/>
      <color theme="1"/>
      <name val="Calibri"/>
      <family val="2"/>
      <charset val="238"/>
      <scheme val="minor"/>
    </font>
    <font>
      <sz val="10"/>
      <name val="Arial"/>
      <family val="2"/>
    </font>
    <font>
      <sz val="11"/>
      <color theme="1"/>
      <name val="Calibri Light"/>
      <family val="2"/>
      <charset val="238"/>
    </font>
    <font>
      <b/>
      <sz val="11"/>
      <name val="Arial"/>
      <family val="2"/>
      <charset val="238"/>
    </font>
    <font>
      <sz val="1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u/>
      <sz val="11"/>
      <color theme="10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4" fillId="0" borderId="0"/>
    <xf numFmtId="0" fontId="8" fillId="0" borderId="0">
      <alignment vertical="center"/>
    </xf>
    <xf numFmtId="0" fontId="14" fillId="0" borderId="0" applyNumberFormat="0" applyFill="0" applyBorder="0" applyAlignment="0" applyProtection="0"/>
  </cellStyleXfs>
  <cellXfs count="70">
    <xf numFmtId="0" fontId="0" fillId="0" borderId="0" xfId="0"/>
    <xf numFmtId="0" fontId="4" fillId="0" borderId="8" xfId="0" applyFont="1" applyBorder="1" applyAlignment="1"/>
    <xf numFmtId="0" fontId="0" fillId="0" borderId="17" xfId="0" applyFill="1" applyBorder="1" applyAlignment="1"/>
    <xf numFmtId="0" fontId="4" fillId="0" borderId="6" xfId="0" applyFont="1" applyFill="1" applyBorder="1" applyAlignment="1"/>
    <xf numFmtId="0" fontId="0" fillId="0" borderId="6" xfId="0" applyFill="1" applyBorder="1" applyAlignment="1"/>
    <xf numFmtId="0" fontId="0" fillId="0" borderId="7" xfId="0" applyFill="1" applyBorder="1" applyAlignment="1"/>
    <xf numFmtId="0" fontId="4" fillId="0" borderId="11" xfId="0" applyFont="1" applyFill="1" applyBorder="1" applyAlignment="1"/>
    <xf numFmtId="0" fontId="0" fillId="0" borderId="11" xfId="0" applyFill="1" applyBorder="1" applyAlignment="1"/>
    <xf numFmtId="0" fontId="0" fillId="0" borderId="12" xfId="0" applyFill="1" applyBorder="1" applyAlignment="1"/>
    <xf numFmtId="0" fontId="4" fillId="0" borderId="11" xfId="2" applyFill="1" applyBorder="1"/>
    <xf numFmtId="0" fontId="4" fillId="0" borderId="6" xfId="2" applyFill="1" applyBorder="1"/>
    <xf numFmtId="0" fontId="0" fillId="3" borderId="0" xfId="0" applyFill="1"/>
    <xf numFmtId="164" fontId="0" fillId="3" borderId="7" xfId="1" applyNumberFormat="1" applyFont="1" applyFill="1" applyBorder="1" applyAlignment="1"/>
    <xf numFmtId="164" fontId="0" fillId="3" borderId="9" xfId="1" applyNumberFormat="1" applyFont="1" applyFill="1" applyBorder="1" applyAlignment="1"/>
    <xf numFmtId="0" fontId="0" fillId="3" borderId="7" xfId="0" applyFill="1" applyBorder="1" applyAlignment="1"/>
    <xf numFmtId="0" fontId="0" fillId="3" borderId="12" xfId="0" applyFill="1" applyBorder="1" applyAlignment="1"/>
    <xf numFmtId="0" fontId="2" fillId="3" borderId="4" xfId="0" applyFont="1" applyFill="1" applyBorder="1" applyAlignment="1"/>
    <xf numFmtId="0" fontId="5" fillId="0" borderId="10" xfId="0" applyFont="1" applyBorder="1" applyAlignment="1">
      <alignment horizontal="center" vertical="center"/>
    </xf>
    <xf numFmtId="0" fontId="0" fillId="0" borderId="0" xfId="0" applyAlignment="1">
      <alignment wrapText="1"/>
    </xf>
    <xf numFmtId="165" fontId="0" fillId="4" borderId="12" xfId="0" applyNumberFormat="1" applyFill="1" applyBorder="1" applyAlignment="1">
      <alignment horizontal="left" vertical="center"/>
    </xf>
    <xf numFmtId="0" fontId="0" fillId="0" borderId="8" xfId="0" applyBorder="1"/>
    <xf numFmtId="0" fontId="0" fillId="0" borderId="9" xfId="0" applyBorder="1" applyAlignment="1">
      <alignment vertical="top" wrapText="1"/>
    </xf>
    <xf numFmtId="0" fontId="9" fillId="0" borderId="9" xfId="0" applyFont="1" applyBorder="1" applyAlignment="1">
      <alignment vertical="top" wrapText="1"/>
    </xf>
    <xf numFmtId="0" fontId="2" fillId="2" borderId="9" xfId="0" applyFont="1" applyFill="1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2" xfId="0" applyBorder="1" applyAlignment="1">
      <alignment vertical="top"/>
    </xf>
    <xf numFmtId="0" fontId="0" fillId="0" borderId="0" xfId="0" applyAlignment="1">
      <alignment vertical="top"/>
    </xf>
    <xf numFmtId="0" fontId="7" fillId="0" borderId="0" xfId="0" applyFont="1" applyAlignment="1">
      <alignment vertical="center"/>
    </xf>
    <xf numFmtId="0" fontId="0" fillId="0" borderId="0" xfId="0" applyFont="1"/>
    <xf numFmtId="0" fontId="10" fillId="0" borderId="8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0" borderId="8" xfId="0" applyFont="1" applyBorder="1" applyAlignment="1"/>
    <xf numFmtId="0" fontId="2" fillId="3" borderId="8" xfId="0" applyFont="1" applyFill="1" applyBorder="1" applyAlignment="1"/>
    <xf numFmtId="0" fontId="2" fillId="0" borderId="8" xfId="0" applyFont="1" applyBorder="1" applyAlignment="1"/>
    <xf numFmtId="165" fontId="0" fillId="4" borderId="12" xfId="0" applyNumberFormat="1" applyFont="1" applyFill="1" applyBorder="1" applyAlignment="1">
      <alignment horizontal="left" vertical="center"/>
    </xf>
    <xf numFmtId="0" fontId="0" fillId="0" borderId="0" xfId="0" applyFont="1" applyBorder="1" applyAlignment="1"/>
    <xf numFmtId="0" fontId="0" fillId="0" borderId="0" xfId="0" applyFont="1" applyAlignment="1"/>
    <xf numFmtId="0" fontId="0" fillId="0" borderId="17" xfId="0" applyFont="1" applyFill="1" applyBorder="1" applyAlignment="1"/>
    <xf numFmtId="0" fontId="0" fillId="0" borderId="8" xfId="0" applyFont="1" applyBorder="1"/>
    <xf numFmtId="0" fontId="11" fillId="0" borderId="0" xfId="0" applyFont="1" applyBorder="1" applyAlignment="1"/>
    <xf numFmtId="0" fontId="12" fillId="0" borderId="8" xfId="0" applyFont="1" applyFill="1" applyBorder="1" applyAlignment="1"/>
    <xf numFmtId="0" fontId="2" fillId="2" borderId="8" xfId="0" applyFont="1" applyFill="1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11" xfId="0" applyBorder="1" applyAlignment="1">
      <alignment vertical="top"/>
    </xf>
    <xf numFmtId="0" fontId="0" fillId="3" borderId="0" xfId="0" applyFill="1" applyAlignment="1">
      <alignment vertical="top"/>
    </xf>
    <xf numFmtId="0" fontId="0" fillId="0" borderId="4" xfId="0" applyBorder="1" applyAlignment="1">
      <alignment vertical="top"/>
    </xf>
    <xf numFmtId="0" fontId="2" fillId="3" borderId="4" xfId="0" applyFont="1" applyFill="1" applyBorder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/>
    <xf numFmtId="0" fontId="0" fillId="0" borderId="9" xfId="0" applyBorder="1" applyAlignment="1">
      <alignment horizontal="left" vertical="top" wrapText="1"/>
    </xf>
    <xf numFmtId="0" fontId="14" fillId="0" borderId="9" xfId="4" applyBorder="1" applyAlignment="1">
      <alignment vertical="top" wrapText="1"/>
    </xf>
    <xf numFmtId="0" fontId="12" fillId="0" borderId="17" xfId="0" applyFont="1" applyFill="1" applyBorder="1" applyAlignment="1"/>
    <xf numFmtId="0" fontId="2" fillId="0" borderId="17" xfId="0" applyFont="1" applyBorder="1" applyAlignment="1"/>
    <xf numFmtId="0" fontId="14" fillId="0" borderId="0" xfId="4" applyAlignment="1">
      <alignment vertical="top"/>
    </xf>
    <xf numFmtId="22" fontId="0" fillId="0" borderId="0" xfId="0" applyNumberFormat="1"/>
    <xf numFmtId="164" fontId="0" fillId="0" borderId="8" xfId="1" applyNumberFormat="1" applyFont="1" applyFill="1" applyBorder="1" applyAlignment="1"/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7" fillId="0" borderId="13" xfId="0" applyFont="1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5" fillId="0" borderId="5" xfId="2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3" fillId="0" borderId="0" xfId="0" applyFont="1" applyFill="1" applyBorder="1" applyAlignment="1"/>
    <xf numFmtId="0" fontId="2" fillId="0" borderId="0" xfId="0" applyFont="1" applyAlignment="1"/>
    <xf numFmtId="0" fontId="2" fillId="0" borderId="13" xfId="0" applyFont="1" applyBorder="1" applyAlignment="1"/>
  </cellXfs>
  <cellStyles count="5">
    <cellStyle name="Dziesiętny" xfId="1" builtinId="3"/>
    <cellStyle name="Hiperłącze" xfId="4" builtinId="8"/>
    <cellStyle name="Normal 6" xfId="3"/>
    <cellStyle name="Normalny" xfId="0" builtinId="0"/>
    <cellStyle name="Normalny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66675</xdr:rowOff>
        </xdr:from>
        <xdr:to>
          <xdr:col>1</xdr:col>
          <xdr:colOff>2819400</xdr:colOff>
          <xdr:row>0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66675</xdr:rowOff>
        </xdr:from>
        <xdr:to>
          <xdr:col>1</xdr:col>
          <xdr:colOff>2819400</xdr:colOff>
          <xdr:row>0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114300</xdr:rowOff>
        </xdr:from>
        <xdr:to>
          <xdr:col>1</xdr:col>
          <xdr:colOff>2428875</xdr:colOff>
          <xdr:row>0</xdr:row>
          <xdr:rowOff>552450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0</xdr:row>
          <xdr:rowOff>85725</xdr:rowOff>
        </xdr:from>
        <xdr:to>
          <xdr:col>1</xdr:col>
          <xdr:colOff>2819400</xdr:colOff>
          <xdr:row>0</xdr:row>
          <xdr:rowOff>523875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\\WAWWINSQLP002\Dysk_D_finalny\COMMERCIAL\Organizational\Revenue\SEFF_trackers\PL%20SEFF%20Tracker_2016.xlsm" TargetMode="External"/><Relationship Id="rId1" Type="http://schemas.openxmlformats.org/officeDocument/2006/relationships/hyperlink" Target="file:///\\WAWWINSQLP002\Dysk_D_finalny\COMMERCIAL\Organizational\Revenue\SEFF_trackers\PL%20SEFF%20Tracker_2016_withROH.xls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2:D28"/>
  <sheetViews>
    <sheetView showGridLines="0" zoomScale="85" zoomScaleNormal="85" workbookViewId="0">
      <selection activeCell="C3" sqref="C3"/>
    </sheetView>
  </sheetViews>
  <sheetFormatPr defaultRowHeight="15" x14ac:dyDescent="0.25"/>
  <cols>
    <col min="1" max="1" width="9.140625" style="26"/>
    <col min="2" max="2" width="18.85546875" style="26" customWidth="1"/>
    <col min="3" max="3" width="147.85546875" style="26" customWidth="1"/>
    <col min="4" max="4" width="76.28515625" style="26" customWidth="1"/>
    <col min="5" max="16384" width="9.140625" style="26"/>
  </cols>
  <sheetData>
    <row r="2" spans="2:4" x14ac:dyDescent="0.25">
      <c r="B2" s="41" t="s">
        <v>43</v>
      </c>
      <c r="C2" s="23" t="s">
        <v>44</v>
      </c>
      <c r="D2" s="23" t="s">
        <v>70</v>
      </c>
    </row>
    <row r="3" spans="2:4" ht="30" x14ac:dyDescent="0.25">
      <c r="B3" s="42" t="s">
        <v>45</v>
      </c>
      <c r="C3" s="53" t="s">
        <v>78</v>
      </c>
      <c r="D3" s="50" t="s">
        <v>103</v>
      </c>
    </row>
    <row r="4" spans="2:4" ht="285" x14ac:dyDescent="0.25">
      <c r="B4" s="42" t="str">
        <f>CellName(C4)</f>
        <v>RepDefIndGrp_v2</v>
      </c>
      <c r="C4" s="21" t="s">
        <v>60</v>
      </c>
    </row>
    <row r="5" spans="2:4" ht="409.5" x14ac:dyDescent="0.25">
      <c r="B5" s="42" t="str">
        <f>CellName(C5)</f>
        <v>RepDefIndGrp_v3</v>
      </c>
      <c r="C5" s="21" t="s">
        <v>69</v>
      </c>
    </row>
    <row r="6" spans="2:4" ht="360" x14ac:dyDescent="0.25">
      <c r="B6" s="42" t="str">
        <f t="shared" ref="B6:B15" si="0">CellName(C6)</f>
        <v>RepDefIndGrp_v1</v>
      </c>
      <c r="C6" s="21" t="s">
        <v>47</v>
      </c>
    </row>
    <row r="7" spans="2:4" ht="405" x14ac:dyDescent="0.25">
      <c r="B7" s="42" t="str">
        <f t="shared" si="0"/>
        <v>RepDefStrategicCli_v1</v>
      </c>
      <c r="C7" s="22" t="s">
        <v>48</v>
      </c>
    </row>
    <row r="8" spans="2:4" ht="409.5" x14ac:dyDescent="0.25">
      <c r="B8" s="42" t="str">
        <f t="shared" si="0"/>
        <v>RepDefPlatCli</v>
      </c>
      <c r="C8" s="21" t="s">
        <v>75</v>
      </c>
    </row>
    <row r="9" spans="2:4" ht="409.5" x14ac:dyDescent="0.25">
      <c r="B9" s="42" t="str">
        <f t="shared" si="0"/>
        <v>RepDefSlsCons</v>
      </c>
      <c r="C9" s="21" t="s">
        <v>76</v>
      </c>
    </row>
    <row r="10" spans="2:4" ht="60" x14ac:dyDescent="0.25">
      <c r="B10" s="42" t="str">
        <f t="shared" si="0"/>
        <v>RepSlsConsMulti</v>
      </c>
      <c r="C10" s="21" t="s">
        <v>77</v>
      </c>
    </row>
    <row r="11" spans="2:4" x14ac:dyDescent="0.25">
      <c r="B11" s="42" t="e">
        <f t="shared" si="0"/>
        <v>#N/A</v>
      </c>
      <c r="C11" s="24"/>
    </row>
    <row r="12" spans="2:4" ht="330" x14ac:dyDescent="0.25">
      <c r="B12" s="42" t="str">
        <f t="shared" si="0"/>
        <v>RepDefStrategicCli_v3</v>
      </c>
      <c r="C12" s="21" t="s">
        <v>74</v>
      </c>
      <c r="D12" s="47" t="s">
        <v>49</v>
      </c>
    </row>
    <row r="13" spans="2:4" ht="225" x14ac:dyDescent="0.25">
      <c r="B13" s="42" t="str">
        <f t="shared" si="0"/>
        <v>RepDefStrategicCli_v2</v>
      </c>
      <c r="C13" s="21" t="s">
        <v>73</v>
      </c>
      <c r="D13" s="47"/>
    </row>
    <row r="14" spans="2:4" ht="409.5" x14ac:dyDescent="0.25">
      <c r="B14" s="42" t="str">
        <f t="shared" si="0"/>
        <v>RepDefIndGrp_v4</v>
      </c>
      <c r="C14" s="49" t="s">
        <v>72</v>
      </c>
      <c r="D14" s="47" t="s">
        <v>71</v>
      </c>
    </row>
    <row r="15" spans="2:4" ht="409.5" x14ac:dyDescent="0.25">
      <c r="B15" s="42" t="str">
        <f t="shared" si="0"/>
        <v>RepDefGrBet</v>
      </c>
      <c r="C15" s="21" t="s">
        <v>101</v>
      </c>
    </row>
    <row r="16" spans="2:4" ht="195" x14ac:dyDescent="0.25">
      <c r="B16" s="42" t="str">
        <f>CellName(C16)</f>
        <v>RepDefGrBetAll</v>
      </c>
      <c r="C16" s="21" t="s">
        <v>102</v>
      </c>
    </row>
    <row r="17" spans="2:3" x14ac:dyDescent="0.25">
      <c r="B17" s="42"/>
      <c r="C17" s="24"/>
    </row>
    <row r="18" spans="2:3" x14ac:dyDescent="0.25">
      <c r="B18" s="42"/>
      <c r="C18" s="24"/>
    </row>
    <row r="19" spans="2:3" x14ac:dyDescent="0.25">
      <c r="B19" s="42"/>
      <c r="C19" s="24"/>
    </row>
    <row r="20" spans="2:3" x14ac:dyDescent="0.25">
      <c r="B20" s="42"/>
      <c r="C20" s="24"/>
    </row>
    <row r="21" spans="2:3" x14ac:dyDescent="0.25">
      <c r="B21" s="42"/>
      <c r="C21" s="24"/>
    </row>
    <row r="22" spans="2:3" x14ac:dyDescent="0.25">
      <c r="B22" s="42"/>
      <c r="C22" s="24"/>
    </row>
    <row r="23" spans="2:3" x14ac:dyDescent="0.25">
      <c r="B23" s="42"/>
      <c r="C23" s="24"/>
    </row>
    <row r="24" spans="2:3" x14ac:dyDescent="0.25">
      <c r="B24" s="42"/>
      <c r="C24" s="24"/>
    </row>
    <row r="25" spans="2:3" x14ac:dyDescent="0.25">
      <c r="B25" s="42"/>
      <c r="C25" s="24"/>
    </row>
    <row r="26" spans="2:3" x14ac:dyDescent="0.25">
      <c r="B26" s="42"/>
      <c r="C26" s="24"/>
    </row>
    <row r="27" spans="2:3" x14ac:dyDescent="0.25">
      <c r="B27" s="42"/>
      <c r="C27" s="24"/>
    </row>
    <row r="28" spans="2:3" ht="15.75" thickBot="1" x14ac:dyDescent="0.3">
      <c r="B28" s="43"/>
      <c r="C28" s="25"/>
    </row>
  </sheetData>
  <hyperlinks>
    <hyperlink ref="C3" r:id="rId1"/>
    <hyperlink ref="D3" r:id="rId2" display="\\WAWWINSQLP002\Dysk_D_finalny\COMMERCIAL\Organizational\Revenue\SEFF_trackers\PL SEFF Tracker_2016.xlsm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stData"/>
  <dimension ref="A1:Z1199"/>
  <sheetViews>
    <sheetView zoomScale="85" zoomScaleNormal="85" workbookViewId="0">
      <selection activeCell="A7" sqref="A7"/>
    </sheetView>
  </sheetViews>
  <sheetFormatPr defaultRowHeight="15" x14ac:dyDescent="0.25"/>
  <cols>
    <col min="1" max="1" width="45.42578125" style="26" bestFit="1" customWidth="1"/>
    <col min="2" max="2" width="41" style="26" customWidth="1"/>
    <col min="3" max="4" width="10.28515625" style="26" bestFit="1" customWidth="1"/>
    <col min="5" max="5" width="11.28515625" style="26" bestFit="1" customWidth="1"/>
    <col min="6" max="7" width="9.28515625" style="26" bestFit="1" customWidth="1"/>
    <col min="8" max="8" width="10.28515625" style="26" bestFit="1" customWidth="1"/>
    <col min="9" max="10" width="9.28515625" style="26" bestFit="1" customWidth="1"/>
    <col min="11" max="11" width="11" style="26" bestFit="1" customWidth="1"/>
    <col min="12" max="12" width="9.28515625" style="26" bestFit="1" customWidth="1"/>
    <col min="13" max="14" width="10.42578125" style="26" bestFit="1" customWidth="1"/>
    <col min="15" max="15" width="11" style="26" bestFit="1" customWidth="1"/>
    <col min="16" max="16" width="26" style="26" bestFit="1" customWidth="1"/>
    <col min="17" max="16384" width="9.140625" style="26"/>
  </cols>
  <sheetData>
    <row r="1" spans="1:26" ht="15.75" thickBot="1" x14ac:dyDescent="0.3">
      <c r="A1" s="56" t="s">
        <v>14</v>
      </c>
      <c r="B1" s="57"/>
      <c r="C1" s="59">
        <v>2016</v>
      </c>
      <c r="D1" s="60"/>
      <c r="E1" s="60"/>
      <c r="F1" s="60"/>
      <c r="G1" s="60"/>
      <c r="H1" s="60"/>
      <c r="I1" s="60"/>
      <c r="J1" s="60"/>
      <c r="K1" s="60"/>
      <c r="L1" s="60"/>
      <c r="M1" s="60"/>
      <c r="N1" s="61"/>
      <c r="O1" s="44"/>
    </row>
    <row r="2" spans="1:26" ht="15.75" thickBot="1" x14ac:dyDescent="0.3">
      <c r="A2" s="58"/>
      <c r="B2" s="58"/>
      <c r="C2" s="45" t="s">
        <v>0</v>
      </c>
      <c r="D2" s="45" t="s">
        <v>1</v>
      </c>
      <c r="E2" s="45" t="s">
        <v>2</v>
      </c>
      <c r="F2" s="45" t="s">
        <v>3</v>
      </c>
      <c r="G2" s="45" t="s">
        <v>4</v>
      </c>
      <c r="H2" s="45" t="s">
        <v>5</v>
      </c>
      <c r="I2" s="45" t="s">
        <v>6</v>
      </c>
      <c r="J2" s="45" t="s">
        <v>7</v>
      </c>
      <c r="K2" s="45" t="s">
        <v>8</v>
      </c>
      <c r="L2" s="45" t="s">
        <v>9</v>
      </c>
      <c r="M2" s="45" t="s">
        <v>10</v>
      </c>
      <c r="N2" s="45" t="s">
        <v>11</v>
      </c>
      <c r="O2" s="46" t="s">
        <v>26</v>
      </c>
    </row>
    <row r="3" spans="1:26" x14ac:dyDescent="0.25">
      <c r="A3" t="s">
        <v>97</v>
      </c>
      <c r="B3" t="s">
        <v>82</v>
      </c>
      <c r="C3"/>
      <c r="D3"/>
      <c r="E3">
        <v>42.510390336</v>
      </c>
      <c r="F3">
        <v>23.335429212000008</v>
      </c>
      <c r="G3">
        <v>23.335429212000008</v>
      </c>
      <c r="H3">
        <v>23.335429212000008</v>
      </c>
      <c r="I3">
        <v>23.335429212000008</v>
      </c>
      <c r="J3">
        <v>23.335429212000008</v>
      </c>
      <c r="K3">
        <v>23.335429212000008</v>
      </c>
      <c r="L3">
        <v>23.335429212000008</v>
      </c>
      <c r="M3">
        <v>23.335429212000008</v>
      </c>
      <c r="N3">
        <v>23.335429212000008</v>
      </c>
      <c r="O3"/>
      <c r="P3"/>
      <c r="Q3"/>
      <c r="R3"/>
      <c r="S3"/>
      <c r="T3"/>
      <c r="U3"/>
      <c r="V3"/>
      <c r="W3"/>
      <c r="X3"/>
      <c r="Y3"/>
      <c r="Z3"/>
    </row>
    <row r="4" spans="1:26" x14ac:dyDescent="0.25">
      <c r="A4" t="s">
        <v>97</v>
      </c>
      <c r="B4" t="s">
        <v>83</v>
      </c>
      <c r="C4"/>
      <c r="D4"/>
      <c r="E4">
        <v>40.132980000000003</v>
      </c>
      <c r="F4">
        <v>20.066490000000002</v>
      </c>
      <c r="G4">
        <v>20.066490000000002</v>
      </c>
      <c r="H4">
        <v>20.066490000000002</v>
      </c>
      <c r="I4">
        <v>20.066490000000002</v>
      </c>
      <c r="J4">
        <v>20.066490000000002</v>
      </c>
      <c r="K4">
        <v>20.066490000000002</v>
      </c>
      <c r="L4">
        <v>20.066490000000002</v>
      </c>
      <c r="M4">
        <v>20.066490000000002</v>
      </c>
      <c r="N4">
        <v>20.066490000000002</v>
      </c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t="s">
        <v>98</v>
      </c>
      <c r="B5" t="s">
        <v>82</v>
      </c>
      <c r="C5">
        <v>207.66284999999999</v>
      </c>
      <c r="D5">
        <v>171.32522</v>
      </c>
      <c r="E5">
        <v>176.87251166666667</v>
      </c>
      <c r="F5">
        <v>173.72469936791666</v>
      </c>
      <c r="G5">
        <v>200.75536090041666</v>
      </c>
      <c r="H5">
        <v>160.80746090041666</v>
      </c>
      <c r="I5">
        <v>162.96670105281333</v>
      </c>
      <c r="J5">
        <v>110.42243855281335</v>
      </c>
      <c r="K5">
        <v>110.01059855281335</v>
      </c>
      <c r="L5">
        <v>114.03025855281334</v>
      </c>
      <c r="M5">
        <v>109.33551155281333</v>
      </c>
      <c r="N5">
        <v>104.50755105281334</v>
      </c>
      <c r="O5"/>
      <c r="P5"/>
      <c r="Q5"/>
      <c r="R5"/>
      <c r="S5"/>
      <c r="T5"/>
      <c r="U5"/>
      <c r="V5"/>
      <c r="W5"/>
      <c r="X5"/>
      <c r="Y5"/>
      <c r="Z5"/>
    </row>
    <row r="6" spans="1:26" x14ac:dyDescent="0.25">
      <c r="A6" t="s">
        <v>98</v>
      </c>
      <c r="B6" t="s">
        <v>83</v>
      </c>
      <c r="C6">
        <v>207.66284999999999</v>
      </c>
      <c r="D6">
        <v>171.32522</v>
      </c>
      <c r="E6">
        <v>169.29524666666666</v>
      </c>
      <c r="F6">
        <v>148.73247666666666</v>
      </c>
      <c r="G6">
        <v>127.07709666666666</v>
      </c>
      <c r="H6">
        <v>122.51574666666666</v>
      </c>
      <c r="I6">
        <v>118.13354999999999</v>
      </c>
      <c r="J6">
        <v>19.661349999999999</v>
      </c>
      <c r="K6">
        <v>18.320409999999999</v>
      </c>
      <c r="L6">
        <v>17.940069999999999</v>
      </c>
      <c r="M6">
        <v>16.870560000000001</v>
      </c>
      <c r="N6">
        <v>5.7528500000000005</v>
      </c>
      <c r="O6"/>
      <c r="P6"/>
      <c r="Q6"/>
      <c r="R6"/>
      <c r="S6"/>
      <c r="T6"/>
      <c r="U6"/>
      <c r="V6"/>
      <c r="W6"/>
      <c r="X6"/>
      <c r="Y6"/>
      <c r="Z6"/>
    </row>
    <row r="7" spans="1:26" x14ac:dyDescent="0.25">
      <c r="A7" t="s">
        <v>99</v>
      </c>
      <c r="B7" t="s">
        <v>82</v>
      </c>
      <c r="C7">
        <v>866.52640999999994</v>
      </c>
      <c r="D7">
        <v>920.97438</v>
      </c>
      <c r="E7">
        <v>343.61100799999997</v>
      </c>
      <c r="F7">
        <v>724.96199999999999</v>
      </c>
      <c r="G7">
        <v>394.82649999999995</v>
      </c>
      <c r="H7">
        <v>127.86199999999999</v>
      </c>
      <c r="I7">
        <v>149.67579999999998</v>
      </c>
      <c r="J7">
        <v>50</v>
      </c>
      <c r="K7">
        <v>128.87</v>
      </c>
      <c r="L7">
        <v>53</v>
      </c>
      <c r="M7">
        <v>25</v>
      </c>
      <c r="N7">
        <v>25</v>
      </c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 t="s">
        <v>99</v>
      </c>
      <c r="B8" t="s">
        <v>83</v>
      </c>
      <c r="C8">
        <v>866.52640999999994</v>
      </c>
      <c r="D8">
        <v>920.97438</v>
      </c>
      <c r="E8">
        <v>318.41100799999998</v>
      </c>
      <c r="F8">
        <v>709.96199999999999</v>
      </c>
      <c r="G8">
        <v>25</v>
      </c>
      <c r="H8">
        <v>25</v>
      </c>
      <c r="I8">
        <v>25</v>
      </c>
      <c r="J8">
        <v>25</v>
      </c>
      <c r="K8">
        <v>25</v>
      </c>
      <c r="L8">
        <v>25</v>
      </c>
      <c r="M8">
        <v>25</v>
      </c>
      <c r="N8">
        <v>25</v>
      </c>
      <c r="O8"/>
      <c r="P8"/>
      <c r="Q8"/>
      <c r="R8"/>
      <c r="S8"/>
      <c r="T8"/>
      <c r="U8"/>
      <c r="V8"/>
      <c r="W8"/>
      <c r="X8"/>
      <c r="Y8"/>
      <c r="Z8"/>
    </row>
    <row r="9" spans="1:26" x14ac:dyDescent="0.25">
      <c r="A9" t="s">
        <v>100</v>
      </c>
      <c r="B9" t="s">
        <v>82</v>
      </c>
      <c r="C9">
        <v>178.19146999999998</v>
      </c>
      <c r="D9">
        <v>233.86096000000001</v>
      </c>
      <c r="E9">
        <v>256.46820000000002</v>
      </c>
      <c r="F9">
        <v>239.46980000000002</v>
      </c>
      <c r="G9">
        <v>221.98779999999999</v>
      </c>
      <c r="H9">
        <v>34.9878</v>
      </c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25">
      <c r="A10" t="s">
        <v>100</v>
      </c>
      <c r="B10" t="s">
        <v>83</v>
      </c>
      <c r="C10">
        <v>178.19146999999998</v>
      </c>
      <c r="D10">
        <v>233.86096000000001</v>
      </c>
      <c r="E10">
        <v>72.638199999999998</v>
      </c>
      <c r="F10">
        <v>35.469799999999999</v>
      </c>
      <c r="G10">
        <v>29.9878</v>
      </c>
      <c r="H10">
        <v>29.9878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1:26" x14ac:dyDescent="0.25">
      <c r="C1001" s="26" t="s">
        <v>46</v>
      </c>
      <c r="D1001" s="26">
        <v>10</v>
      </c>
    </row>
    <row r="1002" spans="1:26" x14ac:dyDescent="0.25">
      <c r="C1002" s="26" t="s">
        <v>13</v>
      </c>
      <c r="D1002" s="26">
        <v>26.021999999999998</v>
      </c>
    </row>
    <row r="1008" spans="1:26" x14ac:dyDescent="0.25">
      <c r="C1008" s="26" t="s">
        <v>46</v>
      </c>
      <c r="D1008" s="26">
        <v>0</v>
      </c>
    </row>
    <row r="1009" spans="3:4" x14ac:dyDescent="0.25">
      <c r="C1009" s="26" t="s">
        <v>46</v>
      </c>
      <c r="D1009" s="26">
        <v>0</v>
      </c>
    </row>
    <row r="1010" spans="3:4" x14ac:dyDescent="0.25">
      <c r="C1010" s="26" t="s">
        <v>46</v>
      </c>
      <c r="D1010" s="26">
        <v>31.92</v>
      </c>
    </row>
    <row r="1011" spans="3:4" x14ac:dyDescent="0.25">
      <c r="D1011" s="26">
        <v>0</v>
      </c>
    </row>
    <row r="1020" spans="3:4" x14ac:dyDescent="0.25">
      <c r="C1020" s="26" t="s">
        <v>46</v>
      </c>
      <c r="D1020" s="26">
        <v>76.14</v>
      </c>
    </row>
    <row r="1028" spans="3:4" x14ac:dyDescent="0.25">
      <c r="C1028" s="26" t="s">
        <v>46</v>
      </c>
      <c r="D1028" s="26">
        <v>50</v>
      </c>
    </row>
    <row r="1029" spans="3:4" x14ac:dyDescent="0.25">
      <c r="C1029" s="26" t="s">
        <v>46</v>
      </c>
      <c r="D1029" s="26">
        <v>56.699999999999996</v>
      </c>
    </row>
    <row r="1030" spans="3:4" x14ac:dyDescent="0.25">
      <c r="C1030" s="26" t="s">
        <v>13</v>
      </c>
      <c r="D1030" s="26">
        <v>25</v>
      </c>
    </row>
    <row r="1036" spans="3:4" x14ac:dyDescent="0.25">
      <c r="C1036" s="26" t="s">
        <v>46</v>
      </c>
      <c r="D1036" s="26">
        <v>25.8</v>
      </c>
    </row>
    <row r="1037" spans="3:4" x14ac:dyDescent="0.25">
      <c r="C1037" s="26" t="s">
        <v>46</v>
      </c>
      <c r="D1037" s="26">
        <v>18.55</v>
      </c>
    </row>
    <row r="1038" spans="3:4" x14ac:dyDescent="0.25">
      <c r="C1038" s="26" t="s">
        <v>46</v>
      </c>
      <c r="D1038" s="26">
        <v>10.3</v>
      </c>
    </row>
    <row r="1042" spans="3:13" x14ac:dyDescent="0.25">
      <c r="C1042" s="26" t="s">
        <v>46</v>
      </c>
      <c r="D1042" s="26">
        <v>37.781500000000001</v>
      </c>
    </row>
    <row r="1043" spans="3:13" x14ac:dyDescent="0.25">
      <c r="C1043" s="26" t="s">
        <v>13</v>
      </c>
      <c r="D1043" s="26">
        <v>134.73400000000001</v>
      </c>
    </row>
    <row r="1044" spans="3:13" x14ac:dyDescent="0.25">
      <c r="C1044" s="26" t="s">
        <v>13</v>
      </c>
      <c r="D1044" s="26">
        <v>393.1</v>
      </c>
    </row>
    <row r="1045" spans="3:13" x14ac:dyDescent="0.25">
      <c r="C1045" s="26" t="s">
        <v>13</v>
      </c>
      <c r="D1045" s="26">
        <v>251.4</v>
      </c>
    </row>
    <row r="1048" spans="3:13" x14ac:dyDescent="0.25">
      <c r="D1048" s="47"/>
      <c r="F1048" s="26" t="s">
        <v>62</v>
      </c>
      <c r="H1048" s="26" t="s">
        <v>64</v>
      </c>
      <c r="I1048" s="26">
        <v>258.16000000000003</v>
      </c>
      <c r="J1048" s="26">
        <v>0</v>
      </c>
      <c r="K1048" s="26">
        <v>0</v>
      </c>
      <c r="L1048" s="26">
        <v>1</v>
      </c>
      <c r="M1048" s="26">
        <v>42432.730081018519</v>
      </c>
    </row>
    <row r="1049" spans="3:13" x14ac:dyDescent="0.25">
      <c r="C1049" s="26" t="s">
        <v>46</v>
      </c>
      <c r="D1049" s="47">
        <v>4.4000000000000004</v>
      </c>
      <c r="F1049" s="26" t="s">
        <v>62</v>
      </c>
      <c r="H1049" s="26" t="s">
        <v>65</v>
      </c>
      <c r="I1049" s="26">
        <v>238</v>
      </c>
      <c r="J1049" s="26">
        <v>0</v>
      </c>
      <c r="K1049" s="26">
        <v>0</v>
      </c>
      <c r="L1049" s="26">
        <v>1</v>
      </c>
      <c r="M1049" s="26">
        <v>42432.728680555556</v>
      </c>
    </row>
    <row r="1050" spans="3:13" x14ac:dyDescent="0.25">
      <c r="C1050" s="26" t="s">
        <v>46</v>
      </c>
      <c r="D1050" s="47">
        <v>4.4000000000000004</v>
      </c>
      <c r="F1050" s="26" t="s">
        <v>62</v>
      </c>
      <c r="H1050" s="26" t="s">
        <v>66</v>
      </c>
      <c r="I1050" s="26">
        <v>347</v>
      </c>
      <c r="J1050" s="26">
        <v>0</v>
      </c>
      <c r="K1050" s="26">
        <v>0</v>
      </c>
      <c r="L1050" s="26">
        <v>1</v>
      </c>
      <c r="M1050" s="26">
        <v>42432.72934027778</v>
      </c>
    </row>
    <row r="1051" spans="3:13" x14ac:dyDescent="0.25">
      <c r="C1051" s="26" t="s">
        <v>46</v>
      </c>
      <c r="D1051" s="47">
        <v>4.4000000000000004</v>
      </c>
      <c r="F1051" s="26" t="s">
        <v>62</v>
      </c>
      <c r="H1051" s="26" t="s">
        <v>67</v>
      </c>
      <c r="I1051" s="26">
        <v>106</v>
      </c>
      <c r="J1051" s="26">
        <v>0</v>
      </c>
      <c r="K1051" s="26">
        <v>0</v>
      </c>
      <c r="L1051" s="26">
        <v>1</v>
      </c>
      <c r="M1051" s="26">
        <v>42432.731006944443</v>
      </c>
    </row>
    <row r="1052" spans="3:13" ht="45" x14ac:dyDescent="0.25">
      <c r="C1052" s="26" t="s">
        <v>46</v>
      </c>
      <c r="D1052" s="47">
        <v>4.4000000000000004</v>
      </c>
      <c r="E1052" s="47" t="s">
        <v>63</v>
      </c>
      <c r="H1052" s="26" t="s">
        <v>68</v>
      </c>
      <c r="I1052" s="26">
        <v>33</v>
      </c>
      <c r="J1052" s="26">
        <v>0.1</v>
      </c>
      <c r="K1052" s="26">
        <v>3.3000000000000003</v>
      </c>
      <c r="L1052" s="26">
        <v>2</v>
      </c>
      <c r="M1052" s="26">
        <v>42432.733715277776</v>
      </c>
    </row>
    <row r="1053" spans="3:13" x14ac:dyDescent="0.25">
      <c r="M1053" s="26">
        <v>42437.393900462965</v>
      </c>
    </row>
    <row r="1062" spans="1:4" x14ac:dyDescent="0.25">
      <c r="C1062" s="26" t="s">
        <v>13</v>
      </c>
      <c r="D1062" s="26">
        <v>81.400000000000006</v>
      </c>
    </row>
    <row r="1063" spans="1:4" x14ac:dyDescent="0.25">
      <c r="C1063" s="26" t="s">
        <v>13</v>
      </c>
      <c r="D1063" s="26">
        <v>35.549999999999997</v>
      </c>
    </row>
    <row r="1064" spans="1:4" x14ac:dyDescent="0.25">
      <c r="C1064" s="26" t="s">
        <v>46</v>
      </c>
      <c r="D1064" s="26">
        <v>85.5</v>
      </c>
    </row>
    <row r="1065" spans="1:4" x14ac:dyDescent="0.25">
      <c r="C1065" s="26" t="s">
        <v>13</v>
      </c>
      <c r="D1065" s="26">
        <v>3.8109999999999999</v>
      </c>
    </row>
    <row r="1066" spans="1:4" x14ac:dyDescent="0.25">
      <c r="C1066" s="26" t="s">
        <v>13</v>
      </c>
      <c r="D1066" s="26">
        <v>241.3</v>
      </c>
    </row>
    <row r="1069" spans="1:4" x14ac:dyDescent="0.25">
      <c r="A1069" s="47"/>
    </row>
    <row r="1074" spans="1:4" x14ac:dyDescent="0.25">
      <c r="C1074" s="26" t="s">
        <v>46</v>
      </c>
      <c r="D1074" s="26">
        <v>15</v>
      </c>
    </row>
    <row r="1075" spans="1:4" x14ac:dyDescent="0.25">
      <c r="C1075" s="26" t="s">
        <v>46</v>
      </c>
      <c r="D1075" s="26">
        <v>78.5</v>
      </c>
    </row>
    <row r="1076" spans="1:4" x14ac:dyDescent="0.25">
      <c r="C1076" s="26" t="s">
        <v>13</v>
      </c>
      <c r="D1076" s="26">
        <v>78.599999999999994</v>
      </c>
    </row>
    <row r="1077" spans="1:4" ht="30" x14ac:dyDescent="0.25">
      <c r="A1077" s="47" t="s">
        <v>63</v>
      </c>
      <c r="B1077" s="26">
        <v>1</v>
      </c>
      <c r="C1077" s="26" t="s">
        <v>46</v>
      </c>
      <c r="D1077" s="26">
        <v>12</v>
      </c>
    </row>
    <row r="1078" spans="1:4" x14ac:dyDescent="0.25">
      <c r="C1078" s="26" t="s">
        <v>46</v>
      </c>
      <c r="D1078" s="26">
        <v>5</v>
      </c>
    </row>
    <row r="1080" spans="1:4" x14ac:dyDescent="0.25">
      <c r="C1080" s="26" t="s">
        <v>13</v>
      </c>
      <c r="D1080" s="26">
        <v>112.911008</v>
      </c>
    </row>
    <row r="1082" spans="1:4" x14ac:dyDescent="0.25">
      <c r="C1082" s="26" t="s">
        <v>13</v>
      </c>
      <c r="D1082" s="26">
        <v>8.7439999999999998</v>
      </c>
    </row>
    <row r="1083" spans="1:4" x14ac:dyDescent="0.25">
      <c r="C1083" s="26" t="s">
        <v>46</v>
      </c>
      <c r="D1083" s="26">
        <v>4.3157249999999996</v>
      </c>
    </row>
    <row r="1084" spans="1:4" x14ac:dyDescent="0.25">
      <c r="C1084" s="26" t="s">
        <v>46</v>
      </c>
      <c r="D1084" s="26">
        <v>4.3157249999999996</v>
      </c>
    </row>
    <row r="1085" spans="1:4" x14ac:dyDescent="0.25">
      <c r="C1085" s="26" t="s">
        <v>46</v>
      </c>
      <c r="D1085" s="26">
        <v>4.3157249999999996</v>
      </c>
    </row>
    <row r="1086" spans="1:4" x14ac:dyDescent="0.25">
      <c r="C1086" s="26" t="s">
        <v>46</v>
      </c>
      <c r="D1086" s="26">
        <v>4.3157249999999996</v>
      </c>
    </row>
    <row r="1087" spans="1:4" x14ac:dyDescent="0.25">
      <c r="C1087" s="26" t="s">
        <v>13</v>
      </c>
      <c r="D1087" s="26">
        <v>5.7542999999999997</v>
      </c>
    </row>
    <row r="1088" spans="1:4" x14ac:dyDescent="0.25">
      <c r="C1088" s="26" t="s">
        <v>46</v>
      </c>
      <c r="D1088" s="26">
        <v>4.3157249999999996</v>
      </c>
    </row>
    <row r="1089" spans="3:4" x14ac:dyDescent="0.25">
      <c r="C1089" s="26" t="s">
        <v>46</v>
      </c>
      <c r="D1089" s="26">
        <v>4.3157249999999996</v>
      </c>
    </row>
    <row r="1090" spans="3:4" x14ac:dyDescent="0.25">
      <c r="C1090" s="26" t="s">
        <v>46</v>
      </c>
      <c r="D1090" s="26">
        <v>4.3157249999999996</v>
      </c>
    </row>
    <row r="1091" spans="3:4" x14ac:dyDescent="0.25">
      <c r="C1091" s="26" t="s">
        <v>46</v>
      </c>
      <c r="D1091" s="26">
        <v>4.3157249999999996</v>
      </c>
    </row>
    <row r="1092" spans="3:4" x14ac:dyDescent="0.25">
      <c r="C1092" s="26" t="s">
        <v>46</v>
      </c>
      <c r="D1092" s="26">
        <v>4.3157249999999996</v>
      </c>
    </row>
    <row r="1093" spans="3:4" x14ac:dyDescent="0.25">
      <c r="C1093" s="26" t="s">
        <v>13</v>
      </c>
      <c r="D1093" s="26">
        <v>5.7542999999999997</v>
      </c>
    </row>
    <row r="1094" spans="3:4" x14ac:dyDescent="0.25">
      <c r="C1094" s="26" t="s">
        <v>46</v>
      </c>
      <c r="D1094" s="26">
        <v>4.3157249999999996</v>
      </c>
    </row>
    <row r="1095" spans="3:4" x14ac:dyDescent="0.25">
      <c r="C1095" s="26" t="s">
        <v>13</v>
      </c>
      <c r="D1095" s="26">
        <v>5.7527999999999997</v>
      </c>
    </row>
    <row r="1096" spans="3:4" x14ac:dyDescent="0.25">
      <c r="C1096" s="26" t="s">
        <v>13</v>
      </c>
      <c r="D1096" s="26">
        <v>5.5133000000000001</v>
      </c>
    </row>
    <row r="1097" spans="3:4" x14ac:dyDescent="0.25">
      <c r="C1097" s="26" t="s">
        <v>13</v>
      </c>
      <c r="D1097" s="26">
        <v>5.7527999999999997</v>
      </c>
    </row>
    <row r="1098" spans="3:4" x14ac:dyDescent="0.25">
      <c r="C1098" s="26" t="s">
        <v>13</v>
      </c>
      <c r="D1098" s="26">
        <v>5.7527999999999997</v>
      </c>
    </row>
    <row r="1099" spans="3:4" x14ac:dyDescent="0.25">
      <c r="C1099" s="26" t="s">
        <v>13</v>
      </c>
      <c r="D1099" s="26">
        <v>5.7527999999999997</v>
      </c>
    </row>
    <row r="1100" spans="3:4" x14ac:dyDescent="0.25">
      <c r="C1100" s="26" t="s">
        <v>13</v>
      </c>
      <c r="D1100" s="26">
        <v>5.7527999999999997</v>
      </c>
    </row>
    <row r="1101" spans="3:4" x14ac:dyDescent="0.25">
      <c r="C1101" s="26" t="s">
        <v>13</v>
      </c>
      <c r="D1101" s="26">
        <v>5.7527999999999997</v>
      </c>
    </row>
    <row r="1102" spans="3:4" x14ac:dyDescent="0.25">
      <c r="C1102" s="26" t="s">
        <v>13</v>
      </c>
      <c r="D1102" s="26">
        <v>5.7527999999999997</v>
      </c>
    </row>
    <row r="1103" spans="3:4" x14ac:dyDescent="0.25">
      <c r="C1103" s="26" t="s">
        <v>13</v>
      </c>
      <c r="D1103" s="26">
        <v>5.7527999999999997</v>
      </c>
    </row>
    <row r="1104" spans="3:4" x14ac:dyDescent="0.25">
      <c r="C1104" s="26" t="s">
        <v>13</v>
      </c>
      <c r="D1104" s="26">
        <v>5.7527999999999997</v>
      </c>
    </row>
    <row r="1105" spans="3:4" x14ac:dyDescent="0.25">
      <c r="C1105" s="26" t="s">
        <v>13</v>
      </c>
      <c r="D1105" s="26">
        <v>5.7527999999999997</v>
      </c>
    </row>
    <row r="1106" spans="3:4" x14ac:dyDescent="0.25">
      <c r="C1106" s="26" t="s">
        <v>13</v>
      </c>
      <c r="D1106" s="26">
        <v>5.5133000000000001</v>
      </c>
    </row>
    <row r="1110" spans="3:4" x14ac:dyDescent="0.25">
      <c r="C1110" s="26" t="s">
        <v>13</v>
      </c>
      <c r="D1110" s="26">
        <v>200</v>
      </c>
    </row>
    <row r="1112" spans="3:4" x14ac:dyDescent="0.25">
      <c r="C1112" s="26" t="s">
        <v>46</v>
      </c>
      <c r="D1112" s="26">
        <v>49.144950000000001</v>
      </c>
    </row>
    <row r="1113" spans="3:4" x14ac:dyDescent="0.25">
      <c r="C1113" s="26" t="s">
        <v>46</v>
      </c>
      <c r="D1113" s="26">
        <v>49.144950000000001</v>
      </c>
    </row>
    <row r="1114" spans="3:4" x14ac:dyDescent="0.25">
      <c r="C1114" s="26" t="s">
        <v>46</v>
      </c>
      <c r="D1114" s="26">
        <v>49.144950000000001</v>
      </c>
    </row>
    <row r="1115" spans="3:4" x14ac:dyDescent="0.25">
      <c r="C1115" s="26" t="s">
        <v>13</v>
      </c>
      <c r="D1115" s="26">
        <v>96.316999999999993</v>
      </c>
    </row>
    <row r="1116" spans="3:4" x14ac:dyDescent="0.25">
      <c r="C1116" s="26" t="s">
        <v>46</v>
      </c>
      <c r="D1116" s="26">
        <v>49.144950000000001</v>
      </c>
    </row>
    <row r="1117" spans="3:4" x14ac:dyDescent="0.25">
      <c r="C1117" s="26" t="s">
        <v>46</v>
      </c>
      <c r="D1117" s="26">
        <v>49.144950000000001</v>
      </c>
    </row>
    <row r="1118" spans="3:4" x14ac:dyDescent="0.25">
      <c r="C1118" s="26" t="s">
        <v>13</v>
      </c>
      <c r="D1118" s="26">
        <v>96.316999999999993</v>
      </c>
    </row>
    <row r="1119" spans="3:4" x14ac:dyDescent="0.25">
      <c r="C1119" s="26" t="s">
        <v>13</v>
      </c>
      <c r="D1119" s="26">
        <v>98.289900000000003</v>
      </c>
    </row>
    <row r="1120" spans="3:4" x14ac:dyDescent="0.25">
      <c r="C1120" s="26" t="s">
        <v>13</v>
      </c>
      <c r="D1120" s="26">
        <v>96.316999999999993</v>
      </c>
    </row>
    <row r="1121" spans="3:4" x14ac:dyDescent="0.25">
      <c r="C1121" s="26" t="s">
        <v>13</v>
      </c>
      <c r="D1121" s="26">
        <v>95.298000000000002</v>
      </c>
    </row>
    <row r="1122" spans="3:4" x14ac:dyDescent="0.25">
      <c r="C1122" s="26" t="s">
        <v>46</v>
      </c>
      <c r="D1122" s="26">
        <v>25.2</v>
      </c>
    </row>
    <row r="1123" spans="3:4" x14ac:dyDescent="0.25">
      <c r="C1123" s="26" t="s">
        <v>13</v>
      </c>
      <c r="D1123" s="26">
        <v>96.328999999999994</v>
      </c>
    </row>
    <row r="1124" spans="3:4" x14ac:dyDescent="0.25">
      <c r="C1124" s="26" t="s">
        <v>13</v>
      </c>
      <c r="D1124" s="26">
        <v>96.316999999999993</v>
      </c>
    </row>
    <row r="1130" spans="3:4" x14ac:dyDescent="0.25">
      <c r="C1130" s="26" t="s">
        <v>46</v>
      </c>
      <c r="D1130" s="26">
        <v>28</v>
      </c>
    </row>
    <row r="1131" spans="3:4" x14ac:dyDescent="0.25">
      <c r="C1131" s="26" t="s">
        <v>46</v>
      </c>
      <c r="D1131" s="26">
        <v>25</v>
      </c>
    </row>
    <row r="1132" spans="3:4" x14ac:dyDescent="0.25">
      <c r="C1132" s="26" t="s">
        <v>46</v>
      </c>
      <c r="D1132" s="26">
        <v>22.25</v>
      </c>
    </row>
    <row r="1135" spans="3:4" x14ac:dyDescent="0.25">
      <c r="C1135" s="26" t="s">
        <v>46</v>
      </c>
      <c r="D1135" s="26">
        <v>29.681999999999999</v>
      </c>
    </row>
    <row r="1136" spans="3:4" x14ac:dyDescent="0.25">
      <c r="C1136" s="26" t="s">
        <v>46</v>
      </c>
      <c r="D1136" s="26">
        <v>18.749010000000002</v>
      </c>
    </row>
    <row r="1137" spans="3:4" x14ac:dyDescent="0.25">
      <c r="C1137" s="26" t="s">
        <v>46</v>
      </c>
      <c r="D1137" s="26">
        <v>18.749010000000002</v>
      </c>
    </row>
    <row r="1138" spans="3:4" x14ac:dyDescent="0.25">
      <c r="C1138" s="26" t="s">
        <v>46</v>
      </c>
      <c r="D1138" s="26">
        <v>18.749010000000002</v>
      </c>
    </row>
    <row r="1139" spans="3:4" x14ac:dyDescent="0.25">
      <c r="C1139" s="26" t="s">
        <v>46</v>
      </c>
      <c r="D1139" s="26">
        <v>18.749010000000002</v>
      </c>
    </row>
    <row r="1140" spans="3:4" x14ac:dyDescent="0.25">
      <c r="C1140" s="26" t="s">
        <v>46</v>
      </c>
      <c r="D1140" s="26">
        <v>18.749010000000002</v>
      </c>
    </row>
    <row r="1141" spans="3:4" x14ac:dyDescent="0.25">
      <c r="C1141" s="26" t="s">
        <v>46</v>
      </c>
      <c r="D1141" s="26">
        <v>18.749010000000002</v>
      </c>
    </row>
    <row r="1142" spans="3:4" x14ac:dyDescent="0.25">
      <c r="C1142" s="26" t="s">
        <v>46</v>
      </c>
      <c r="D1142" s="26">
        <v>18.749010000000002</v>
      </c>
    </row>
    <row r="1143" spans="3:4" x14ac:dyDescent="0.25">
      <c r="C1143" s="26" t="s">
        <v>46</v>
      </c>
      <c r="D1143" s="26">
        <v>18.749010000000002</v>
      </c>
    </row>
    <row r="1144" spans="3:4" x14ac:dyDescent="0.25">
      <c r="C1144" s="26" t="s">
        <v>13</v>
      </c>
      <c r="D1144" s="26">
        <v>19.735800000000001</v>
      </c>
    </row>
    <row r="1145" spans="3:4" x14ac:dyDescent="0.25">
      <c r="C1145" s="26" t="s">
        <v>13</v>
      </c>
      <c r="D1145" s="26">
        <v>19.735800000000001</v>
      </c>
    </row>
    <row r="1146" spans="3:4" x14ac:dyDescent="0.25">
      <c r="C1146" s="26" t="s">
        <v>13</v>
      </c>
      <c r="D1146" s="26">
        <v>19.735800000000001</v>
      </c>
    </row>
    <row r="1147" spans="3:4" x14ac:dyDescent="0.25">
      <c r="C1147" s="26" t="s">
        <v>13</v>
      </c>
      <c r="D1147" s="26">
        <v>20.5</v>
      </c>
    </row>
    <row r="1148" spans="3:4" x14ac:dyDescent="0.25">
      <c r="C1148" s="26" t="s">
        <v>13</v>
      </c>
      <c r="D1148" s="26">
        <v>300</v>
      </c>
    </row>
    <row r="1149" spans="3:4" x14ac:dyDescent="0.25">
      <c r="C1149" s="26" t="s">
        <v>46</v>
      </c>
      <c r="D1149" s="26">
        <v>18.749010000000002</v>
      </c>
    </row>
    <row r="1157" spans="3:4" x14ac:dyDescent="0.25">
      <c r="C1157" s="26" t="s">
        <v>46</v>
      </c>
      <c r="D1157" s="26">
        <v>0</v>
      </c>
    </row>
    <row r="1162" spans="3:4" x14ac:dyDescent="0.25">
      <c r="C1162" s="26" t="s">
        <v>13</v>
      </c>
      <c r="D1162" s="26">
        <v>5.72</v>
      </c>
    </row>
    <row r="1163" spans="3:4" x14ac:dyDescent="0.25">
      <c r="C1163" s="26" t="s">
        <v>13</v>
      </c>
      <c r="D1163" s="26">
        <v>126.79300000000001</v>
      </c>
    </row>
    <row r="1164" spans="3:4" x14ac:dyDescent="0.25">
      <c r="C1164" s="26" t="s">
        <v>13</v>
      </c>
      <c r="D1164" s="26">
        <v>4.2699999999999996</v>
      </c>
    </row>
    <row r="1165" spans="3:4" x14ac:dyDescent="0.25">
      <c r="C1165" s="26" t="s">
        <v>46</v>
      </c>
      <c r="D1165" s="26">
        <v>9.33</v>
      </c>
    </row>
    <row r="1166" spans="3:4" x14ac:dyDescent="0.25">
      <c r="C1166" s="26" t="s">
        <v>46</v>
      </c>
      <c r="D1166" s="26">
        <v>0</v>
      </c>
    </row>
    <row r="1167" spans="3:4" x14ac:dyDescent="0.25">
      <c r="C1167" s="26" t="s">
        <v>13</v>
      </c>
      <c r="D1167" s="26">
        <v>5.2750000000000004</v>
      </c>
    </row>
    <row r="1168" spans="3:4" x14ac:dyDescent="0.25">
      <c r="C1168" s="26" t="s">
        <v>46</v>
      </c>
      <c r="D1168" s="26">
        <v>0</v>
      </c>
    </row>
    <row r="1169" spans="3:4" x14ac:dyDescent="0.25">
      <c r="C1169" s="26" t="s">
        <v>46</v>
      </c>
      <c r="D1169" s="26">
        <v>0</v>
      </c>
    </row>
    <row r="1170" spans="3:4" x14ac:dyDescent="0.25">
      <c r="C1170" s="26" t="s">
        <v>46</v>
      </c>
      <c r="D1170" s="26">
        <v>0</v>
      </c>
    </row>
    <row r="1171" spans="3:4" x14ac:dyDescent="0.25">
      <c r="C1171" s="26" t="s">
        <v>46</v>
      </c>
      <c r="D1171" s="26">
        <v>0</v>
      </c>
    </row>
    <row r="1173" spans="3:4" x14ac:dyDescent="0.25">
      <c r="C1173" s="26" t="s">
        <v>13</v>
      </c>
      <c r="D1173" s="26">
        <v>9.6389999999999993</v>
      </c>
    </row>
    <row r="1176" spans="3:4" x14ac:dyDescent="0.25">
      <c r="C1176" s="26" t="s">
        <v>13</v>
      </c>
      <c r="D1176" s="26">
        <v>19.254000000000001</v>
      </c>
    </row>
    <row r="1177" spans="3:4" x14ac:dyDescent="0.25">
      <c r="C1177" s="26" t="s">
        <v>13</v>
      </c>
      <c r="D1177" s="26">
        <v>51.74</v>
      </c>
    </row>
    <row r="1178" spans="3:4" x14ac:dyDescent="0.25">
      <c r="C1178" s="26" t="s">
        <v>46</v>
      </c>
      <c r="D1178" s="26">
        <v>85.32</v>
      </c>
    </row>
    <row r="1179" spans="3:4" x14ac:dyDescent="0.25">
      <c r="C1179" s="26" t="s">
        <v>13</v>
      </c>
      <c r="D1179" s="26">
        <v>41.5</v>
      </c>
    </row>
    <row r="1181" spans="3:4" x14ac:dyDescent="0.25">
      <c r="C1181" s="26" t="s">
        <v>13</v>
      </c>
      <c r="D1181" s="26">
        <v>1.2524500000000001</v>
      </c>
    </row>
    <row r="1182" spans="3:4" x14ac:dyDescent="0.25">
      <c r="C1182" s="26" t="s">
        <v>13</v>
      </c>
      <c r="D1182" s="26">
        <v>1.2524500000000001</v>
      </c>
    </row>
    <row r="1183" spans="3:4" x14ac:dyDescent="0.25">
      <c r="C1183" s="26" t="s">
        <v>13</v>
      </c>
      <c r="D1183" s="26">
        <v>1.2524500000000001</v>
      </c>
    </row>
    <row r="1184" spans="3:4" x14ac:dyDescent="0.25">
      <c r="C1184" s="26" t="s">
        <v>13</v>
      </c>
      <c r="D1184" s="26">
        <v>1.2524500000000001</v>
      </c>
    </row>
    <row r="1185" spans="3:4" x14ac:dyDescent="0.25">
      <c r="C1185" s="26" t="s">
        <v>13</v>
      </c>
      <c r="D1185" s="26">
        <v>1.2524500000000001</v>
      </c>
    </row>
    <row r="1186" spans="3:4" x14ac:dyDescent="0.25">
      <c r="C1186" s="26" t="s">
        <v>13</v>
      </c>
      <c r="D1186" s="26">
        <v>1.2524500000000001</v>
      </c>
    </row>
    <row r="1187" spans="3:4" x14ac:dyDescent="0.25">
      <c r="C1187" s="26" t="s">
        <v>13</v>
      </c>
      <c r="D1187" s="26">
        <v>1.2524500000000001</v>
      </c>
    </row>
    <row r="1188" spans="3:4" x14ac:dyDescent="0.25">
      <c r="C1188" s="26" t="s">
        <v>13</v>
      </c>
      <c r="D1188" s="26">
        <v>1.2524500000000001</v>
      </c>
    </row>
    <row r="1189" spans="3:4" x14ac:dyDescent="0.25">
      <c r="C1189" s="26" t="s">
        <v>13</v>
      </c>
      <c r="D1189" s="26">
        <v>1.2524500000000001</v>
      </c>
    </row>
    <row r="1190" spans="3:4" x14ac:dyDescent="0.25">
      <c r="C1190" s="26" t="s">
        <v>13</v>
      </c>
      <c r="D1190" s="26">
        <v>1.2524500000000001</v>
      </c>
    </row>
    <row r="1191" spans="3:4" x14ac:dyDescent="0.25">
      <c r="C1191" s="26" t="s">
        <v>46</v>
      </c>
      <c r="D1191" s="26">
        <v>1.1898275</v>
      </c>
    </row>
    <row r="1192" spans="3:4" x14ac:dyDescent="0.25">
      <c r="C1192" s="26" t="s">
        <v>13</v>
      </c>
      <c r="D1192" s="26">
        <v>1.2703100000000001</v>
      </c>
    </row>
    <row r="1198" spans="3:4" x14ac:dyDescent="0.25">
      <c r="C1198" s="26" t="s">
        <v>13</v>
      </c>
      <c r="D1198" s="26">
        <v>80.069999999999993</v>
      </c>
    </row>
    <row r="1199" spans="3:4" x14ac:dyDescent="0.25">
      <c r="C1199" s="26" t="s">
        <v>46</v>
      </c>
      <c r="D1199" s="26">
        <v>5</v>
      </c>
    </row>
  </sheetData>
  <mergeCells count="2">
    <mergeCell ref="A1:B2"/>
    <mergeCell ref="C1:N1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pIndGrp"/>
  <dimension ref="B1:P27"/>
  <sheetViews>
    <sheetView showGridLines="0" zoomScale="85" zoomScaleNormal="85" workbookViewId="0">
      <selection activeCell="F20" sqref="F20"/>
    </sheetView>
  </sheetViews>
  <sheetFormatPr defaultRowHeight="15" x14ac:dyDescent="0.25"/>
  <cols>
    <col min="1" max="1" width="9.28515625" customWidth="1"/>
    <col min="2" max="2" width="43.28515625" customWidth="1"/>
    <col min="3" max="3" width="39.5703125" customWidth="1"/>
    <col min="4" max="15" width="11.28515625" customWidth="1"/>
    <col min="16" max="16" width="11.140625" customWidth="1"/>
  </cols>
  <sheetData>
    <row r="1" spans="2:16" ht="46.5" customHeight="1" x14ac:dyDescent="0.25"/>
    <row r="2" spans="2:16" ht="15.75" thickBot="1" x14ac:dyDescent="0.3">
      <c r="B2" s="19">
        <v>42452.494930555556</v>
      </c>
    </row>
    <row r="3" spans="2:16" ht="21" x14ac:dyDescent="0.25">
      <c r="C3" s="27"/>
      <c r="D3" s="62">
        <v>2016</v>
      </c>
      <c r="E3" s="63"/>
      <c r="F3" s="63"/>
      <c r="G3" s="63"/>
      <c r="H3" s="63"/>
      <c r="I3" s="63"/>
      <c r="J3" s="63"/>
      <c r="K3" s="63"/>
      <c r="L3" s="63"/>
      <c r="M3" s="63"/>
      <c r="N3" s="63"/>
      <c r="O3" s="64"/>
      <c r="P3" s="11"/>
    </row>
    <row r="4" spans="2:16" s="28" customFormat="1" x14ac:dyDescent="0.25">
      <c r="B4" s="29" t="s">
        <v>51</v>
      </c>
      <c r="C4" s="30" t="s">
        <v>50</v>
      </c>
      <c r="D4" s="31" t="s">
        <v>0</v>
      </c>
      <c r="E4" s="31" t="s">
        <v>1</v>
      </c>
      <c r="F4" s="31" t="s">
        <v>2</v>
      </c>
      <c r="G4" s="31" t="s">
        <v>3</v>
      </c>
      <c r="H4" s="31" t="s">
        <v>4</v>
      </c>
      <c r="I4" s="31" t="s">
        <v>5</v>
      </c>
      <c r="J4" s="31" t="s">
        <v>6</v>
      </c>
      <c r="K4" s="31" t="s">
        <v>7</v>
      </c>
      <c r="L4" s="31" t="s">
        <v>8</v>
      </c>
      <c r="M4" s="31" t="s">
        <v>9</v>
      </c>
      <c r="N4" s="31" t="s">
        <v>10</v>
      </c>
      <c r="O4" s="31" t="s">
        <v>11</v>
      </c>
      <c r="P4" s="32" t="s">
        <v>26</v>
      </c>
    </row>
    <row r="5" spans="2:16" x14ac:dyDescent="0.25">
      <c r="B5" s="20" t="s">
        <v>52</v>
      </c>
      <c r="C5" s="20" t="s">
        <v>46</v>
      </c>
      <c r="D5" s="20">
        <v>123.16685999999999</v>
      </c>
      <c r="E5" s="20">
        <v>21.072680000000002</v>
      </c>
      <c r="F5" s="20">
        <v>122.198398</v>
      </c>
      <c r="G5" s="20">
        <v>7.1130299999999993</v>
      </c>
      <c r="H5" s="20">
        <v>30.13053</v>
      </c>
      <c r="I5" s="20">
        <v>6.6758099999999994</v>
      </c>
      <c r="J5" s="20">
        <v>6.6756299999999991</v>
      </c>
      <c r="K5" s="20">
        <v>5.7770999999999999</v>
      </c>
      <c r="L5" s="20">
        <v>5.7277899999999997</v>
      </c>
      <c r="M5" s="20">
        <v>5.7277899999999997</v>
      </c>
      <c r="N5" s="20">
        <v>5.72797</v>
      </c>
      <c r="O5" s="20">
        <v>5.6661299999999999</v>
      </c>
      <c r="P5" s="55">
        <f>IF(ISBLANK(B5),"",SUM(D5:O5))</f>
        <v>345.65971800000011</v>
      </c>
    </row>
    <row r="6" spans="2:16" x14ac:dyDescent="0.25">
      <c r="B6" s="20" t="s">
        <v>52</v>
      </c>
      <c r="C6" s="20" t="s">
        <v>13</v>
      </c>
      <c r="D6" s="20">
        <v>123.16685999999999</v>
      </c>
      <c r="E6" s="20">
        <v>21.072680000000002</v>
      </c>
      <c r="F6" s="20">
        <v>118.936858</v>
      </c>
      <c r="G6" s="20">
        <v>6.0258499999999993</v>
      </c>
      <c r="H6" s="20">
        <v>6.0258499999999993</v>
      </c>
      <c r="I6" s="20">
        <v>3.1091800000000003</v>
      </c>
      <c r="J6" s="20">
        <v>3.109</v>
      </c>
      <c r="K6" s="20">
        <v>2.2104699999999999</v>
      </c>
      <c r="L6" s="20">
        <v>1.2320599999999999</v>
      </c>
      <c r="M6" s="20">
        <v>1.2320599999999999</v>
      </c>
      <c r="N6" s="20">
        <v>1.23224</v>
      </c>
      <c r="O6" s="20">
        <v>0</v>
      </c>
      <c r="P6" s="55">
        <f t="shared" ref="P6:P24" si="0">IF(ISBLANK(B6),"",SUM(D6:O6))</f>
        <v>287.35310799999985</v>
      </c>
    </row>
    <row r="7" spans="2:16" x14ac:dyDescent="0.25">
      <c r="B7" s="20" t="s">
        <v>53</v>
      </c>
      <c r="C7" s="20" t="s">
        <v>46</v>
      </c>
      <c r="D7" s="20">
        <v>11.699759999999999</v>
      </c>
      <c r="E7" s="20">
        <v>6.1862000000000004</v>
      </c>
      <c r="F7" s="20">
        <v>10.068555</v>
      </c>
      <c r="G7" s="20">
        <v>42.468555000000002</v>
      </c>
      <c r="H7" s="20">
        <v>10.068555</v>
      </c>
      <c r="I7" s="20">
        <v>10.068555</v>
      </c>
      <c r="J7" s="20">
        <v>14.468554999999999</v>
      </c>
      <c r="K7" s="20">
        <v>10.068555</v>
      </c>
      <c r="L7" s="20">
        <v>10.068555</v>
      </c>
      <c r="M7" s="20">
        <v>14.468554999999999</v>
      </c>
      <c r="N7" s="20">
        <v>10.068555</v>
      </c>
      <c r="O7" s="20">
        <v>14.468575</v>
      </c>
      <c r="P7" s="55">
        <f t="shared" si="0"/>
        <v>164.17152999999999</v>
      </c>
    </row>
    <row r="8" spans="2:16" x14ac:dyDescent="0.25">
      <c r="B8" s="20" t="s">
        <v>53</v>
      </c>
      <c r="C8" s="20" t="s">
        <v>13</v>
      </c>
      <c r="D8" s="20">
        <v>11.699759999999999</v>
      </c>
      <c r="E8" s="20">
        <v>6.1862000000000004</v>
      </c>
      <c r="F8" s="20">
        <v>5.7528300000000003</v>
      </c>
      <c r="G8" s="20">
        <v>5.7528300000000003</v>
      </c>
      <c r="H8" s="20">
        <v>5.7528300000000003</v>
      </c>
      <c r="I8" s="20">
        <v>5.7528300000000003</v>
      </c>
      <c r="J8" s="20">
        <v>5.7528300000000003</v>
      </c>
      <c r="K8" s="20">
        <v>5.7528300000000003</v>
      </c>
      <c r="L8" s="20">
        <v>5.7528300000000003</v>
      </c>
      <c r="M8" s="20">
        <v>5.7528300000000003</v>
      </c>
      <c r="N8" s="20">
        <v>5.7528300000000003</v>
      </c>
      <c r="O8" s="20">
        <v>5.7528500000000005</v>
      </c>
      <c r="P8" s="55">
        <f t="shared" si="0"/>
        <v>75.414280000000005</v>
      </c>
    </row>
    <row r="9" spans="2:16" x14ac:dyDescent="0.25">
      <c r="B9" s="20" t="s">
        <v>54</v>
      </c>
      <c r="C9" s="20" t="s">
        <v>46</v>
      </c>
      <c r="D9" s="20">
        <v>82.360659999999996</v>
      </c>
      <c r="E9" s="20"/>
      <c r="F9" s="20"/>
      <c r="G9" s="20">
        <v>373.487865</v>
      </c>
      <c r="H9" s="20">
        <v>9.8958650000000006</v>
      </c>
      <c r="I9" s="20">
        <v>9.8958650000000006</v>
      </c>
      <c r="J9" s="20">
        <v>9.8958650000000006</v>
      </c>
      <c r="K9" s="20">
        <v>9.8958650000000006</v>
      </c>
      <c r="L9" s="20">
        <v>9.8958650000000006</v>
      </c>
      <c r="M9" s="20">
        <v>9.8958650000000006</v>
      </c>
      <c r="N9" s="20">
        <v>9.8958650000000006</v>
      </c>
      <c r="O9" s="20">
        <v>9.8958650000000006</v>
      </c>
      <c r="P9" s="55">
        <f t="shared" si="0"/>
        <v>535.015445</v>
      </c>
    </row>
    <row r="10" spans="2:16" x14ac:dyDescent="0.25">
      <c r="B10" s="20" t="s">
        <v>54</v>
      </c>
      <c r="C10" s="20" t="s">
        <v>13</v>
      </c>
      <c r="D10" s="20">
        <v>82.360659999999996</v>
      </c>
      <c r="E10" s="20"/>
      <c r="F10" s="20"/>
      <c r="G10" s="20">
        <v>363.59199999999998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0">
        <v>0</v>
      </c>
      <c r="P10" s="55">
        <f t="shared" si="0"/>
        <v>445.95265999999998</v>
      </c>
    </row>
    <row r="11" spans="2:16" x14ac:dyDescent="0.25">
      <c r="B11" s="20" t="s">
        <v>55</v>
      </c>
      <c r="C11" s="20" t="s">
        <v>46</v>
      </c>
      <c r="D11" s="20">
        <v>43.741169999999997</v>
      </c>
      <c r="E11" s="20">
        <v>52.570129999999992</v>
      </c>
      <c r="F11" s="20">
        <v>7.3080999999999996</v>
      </c>
      <c r="G11" s="20">
        <v>60.724589999999999</v>
      </c>
      <c r="H11" s="20">
        <v>188.5</v>
      </c>
      <c r="I11" s="20"/>
      <c r="J11" s="20">
        <v>62.156399999999991</v>
      </c>
      <c r="K11" s="20"/>
      <c r="L11" s="20"/>
      <c r="M11" s="20"/>
      <c r="N11" s="20"/>
      <c r="O11" s="20"/>
      <c r="P11" s="55">
        <f t="shared" si="0"/>
        <v>415.00038999999992</v>
      </c>
    </row>
    <row r="12" spans="2:16" x14ac:dyDescent="0.25">
      <c r="B12" s="20" t="s">
        <v>55</v>
      </c>
      <c r="C12" s="20" t="s">
        <v>13</v>
      </c>
      <c r="D12" s="20">
        <v>43.741169999999997</v>
      </c>
      <c r="E12" s="20">
        <v>52.570129999999992</v>
      </c>
      <c r="F12" s="20">
        <v>7.3080999999999996</v>
      </c>
      <c r="G12" s="20">
        <v>0.72459000000000007</v>
      </c>
      <c r="H12" s="20">
        <v>0</v>
      </c>
      <c r="I12" s="20"/>
      <c r="J12" s="20">
        <v>0</v>
      </c>
      <c r="K12" s="20"/>
      <c r="L12" s="20"/>
      <c r="M12" s="20"/>
      <c r="N12" s="20"/>
      <c r="O12" s="20"/>
      <c r="P12" s="55">
        <f t="shared" si="0"/>
        <v>104.34398999999999</v>
      </c>
    </row>
    <row r="13" spans="2:16" x14ac:dyDescent="0.25">
      <c r="B13" s="20" t="s">
        <v>79</v>
      </c>
      <c r="C13" s="20" t="s">
        <v>46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55">
        <f t="shared" si="0"/>
        <v>0</v>
      </c>
    </row>
    <row r="14" spans="2:16" x14ac:dyDescent="0.25">
      <c r="B14" s="20" t="s">
        <v>79</v>
      </c>
      <c r="C14" s="20" t="s">
        <v>13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55">
        <f t="shared" si="0"/>
        <v>0</v>
      </c>
    </row>
    <row r="15" spans="2:16" x14ac:dyDescent="0.25">
      <c r="B15" s="20" t="s">
        <v>56</v>
      </c>
      <c r="C15" s="20" t="s">
        <v>46</v>
      </c>
      <c r="D15" s="20">
        <v>4.0765000000000002</v>
      </c>
      <c r="E15" s="20">
        <v>3.6706799999999999</v>
      </c>
      <c r="F15" s="20">
        <v>4.0961566666666664</v>
      </c>
      <c r="G15" s="20">
        <v>4.0961566666666664</v>
      </c>
      <c r="H15" s="20">
        <v>41.962156666666658</v>
      </c>
      <c r="I15" s="20">
        <v>32.799776666666666</v>
      </c>
      <c r="J15" s="20">
        <v>4.2022468190633351</v>
      </c>
      <c r="K15" s="20">
        <v>4.139984319063335</v>
      </c>
      <c r="L15" s="20">
        <v>4.139984319063335</v>
      </c>
      <c r="M15" s="20">
        <v>4.1399643190633348</v>
      </c>
      <c r="N15" s="20">
        <v>4.0991873190633354</v>
      </c>
      <c r="O15" s="20">
        <v>4.0991873190633354</v>
      </c>
      <c r="P15" s="55">
        <f t="shared" si="0"/>
        <v>115.52198108104666</v>
      </c>
    </row>
    <row r="16" spans="2:16" x14ac:dyDescent="0.25">
      <c r="B16" s="20" t="s">
        <v>56</v>
      </c>
      <c r="C16" s="20" t="s">
        <v>13</v>
      </c>
      <c r="D16" s="20">
        <v>4.0765000000000002</v>
      </c>
      <c r="E16" s="20">
        <v>3.6706799999999999</v>
      </c>
      <c r="F16" s="20">
        <v>4.0961566666666664</v>
      </c>
      <c r="G16" s="20">
        <v>4.0961566666666664</v>
      </c>
      <c r="H16" s="20">
        <v>4.0961566666666664</v>
      </c>
      <c r="I16" s="20">
        <v>3.1177766666666664</v>
      </c>
      <c r="J16" s="20">
        <v>2.06081</v>
      </c>
      <c r="K16" s="20">
        <v>0.81555999999999995</v>
      </c>
      <c r="L16" s="20">
        <v>0.81555999999999995</v>
      </c>
      <c r="M16" s="20">
        <v>0.81553999999999993</v>
      </c>
      <c r="N16" s="20">
        <v>0</v>
      </c>
      <c r="O16" s="20">
        <v>0</v>
      </c>
      <c r="P16" s="55">
        <f t="shared" si="0"/>
        <v>27.660896666666666</v>
      </c>
    </row>
    <row r="17" spans="2:16" x14ac:dyDescent="0.25">
      <c r="B17" s="20" t="s">
        <v>57</v>
      </c>
      <c r="C17" s="20" t="s">
        <v>46</v>
      </c>
      <c r="D17" s="20">
        <v>627.73756000000003</v>
      </c>
      <c r="E17" s="20">
        <v>747.70393999999987</v>
      </c>
      <c r="F17" s="20">
        <v>250.05512033600002</v>
      </c>
      <c r="G17" s="20">
        <v>483.48678191325007</v>
      </c>
      <c r="H17" s="20">
        <v>474.64681344574996</v>
      </c>
      <c r="I17" s="20">
        <v>199.21781344574998</v>
      </c>
      <c r="J17" s="20">
        <v>101.36201344574999</v>
      </c>
      <c r="K17" s="20">
        <v>79.178373445750012</v>
      </c>
      <c r="L17" s="20">
        <v>139.49837344575002</v>
      </c>
      <c r="M17" s="20">
        <v>82.178373445750012</v>
      </c>
      <c r="N17" s="20">
        <v>54.178373445750012</v>
      </c>
      <c r="O17" s="20">
        <v>54.178373445750012</v>
      </c>
      <c r="P17" s="55">
        <f t="shared" si="0"/>
        <v>3293.4219098152498</v>
      </c>
    </row>
    <row r="18" spans="2:16" x14ac:dyDescent="0.25">
      <c r="B18" s="20" t="s">
        <v>57</v>
      </c>
      <c r="C18" s="20" t="s">
        <v>13</v>
      </c>
      <c r="D18" s="20">
        <v>627.73756000000003</v>
      </c>
      <c r="E18" s="20">
        <v>747.70393999999987</v>
      </c>
      <c r="F18" s="20">
        <v>143.97771</v>
      </c>
      <c r="G18" s="20">
        <v>447.67438999999996</v>
      </c>
      <c r="H18" s="20">
        <v>126.30438999999998</v>
      </c>
      <c r="I18" s="20">
        <v>126.30438999999998</v>
      </c>
      <c r="J18" s="20">
        <v>96.328589999999991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55">
        <f t="shared" si="0"/>
        <v>2316.0309699999998</v>
      </c>
    </row>
    <row r="19" spans="2:16" x14ac:dyDescent="0.25">
      <c r="B19" s="20" t="s">
        <v>61</v>
      </c>
      <c r="C19" s="20" t="s">
        <v>46</v>
      </c>
      <c r="D19" s="20">
        <v>0</v>
      </c>
      <c r="E19" s="20"/>
      <c r="F19" s="20">
        <v>58.599999999999994</v>
      </c>
      <c r="G19" s="20"/>
      <c r="H19" s="20"/>
      <c r="I19" s="20"/>
      <c r="J19" s="20"/>
      <c r="K19" s="20"/>
      <c r="L19" s="20"/>
      <c r="M19" s="20"/>
      <c r="N19" s="20"/>
      <c r="O19" s="20"/>
      <c r="P19" s="55">
        <f t="shared" si="0"/>
        <v>58.599999999999994</v>
      </c>
    </row>
    <row r="20" spans="2:16" x14ac:dyDescent="0.25">
      <c r="B20" s="20" t="s">
        <v>61</v>
      </c>
      <c r="C20" s="20" t="s">
        <v>13</v>
      </c>
      <c r="D20" s="20">
        <v>0</v>
      </c>
      <c r="E20" s="20"/>
      <c r="F20" s="20">
        <v>4.2699999999999996</v>
      </c>
      <c r="G20" s="20"/>
      <c r="H20" s="20"/>
      <c r="I20" s="20"/>
      <c r="J20" s="20"/>
      <c r="K20" s="20"/>
      <c r="L20" s="20"/>
      <c r="M20" s="20"/>
      <c r="N20" s="20"/>
      <c r="O20" s="20"/>
      <c r="P20" s="55">
        <f t="shared" si="0"/>
        <v>4.2699999999999996</v>
      </c>
    </row>
    <row r="21" spans="2:16" x14ac:dyDescent="0.25">
      <c r="B21" s="20" t="s">
        <v>58</v>
      </c>
      <c r="C21" s="20" t="s">
        <v>46</v>
      </c>
      <c r="D21" s="20">
        <v>83.616209999999995</v>
      </c>
      <c r="E21" s="20">
        <v>319.73585000000003</v>
      </c>
      <c r="F21" s="20">
        <v>265.36883</v>
      </c>
      <c r="G21" s="20">
        <v>74.802340000000001</v>
      </c>
      <c r="H21" s="20">
        <v>70.8155</v>
      </c>
      <c r="I21" s="20">
        <v>74.115499999999997</v>
      </c>
      <c r="J21" s="20">
        <v>63.8155</v>
      </c>
      <c r="K21" s="20">
        <v>63.8155</v>
      </c>
      <c r="L21" s="20">
        <v>82.365499999999997</v>
      </c>
      <c r="M21" s="20">
        <v>63.8155</v>
      </c>
      <c r="N21" s="20">
        <v>63.8155</v>
      </c>
      <c r="O21" s="20">
        <v>63.8155</v>
      </c>
      <c r="P21" s="55">
        <f t="shared" si="0"/>
        <v>1289.8972299999998</v>
      </c>
    </row>
    <row r="22" spans="2:16" x14ac:dyDescent="0.25">
      <c r="B22" s="20" t="s">
        <v>58</v>
      </c>
      <c r="C22" s="20" t="s">
        <v>13</v>
      </c>
      <c r="D22" s="20">
        <v>83.616209999999995</v>
      </c>
      <c r="E22" s="20">
        <v>319.73585000000003</v>
      </c>
      <c r="F22" s="20">
        <v>265.36883</v>
      </c>
      <c r="G22" s="20">
        <v>64.802340000000001</v>
      </c>
      <c r="H22" s="20">
        <v>45.066490000000002</v>
      </c>
      <c r="I22" s="20">
        <v>45.066490000000002</v>
      </c>
      <c r="J22" s="20">
        <v>45.066490000000002</v>
      </c>
      <c r="K22" s="20">
        <v>45.066490000000002</v>
      </c>
      <c r="L22" s="20">
        <v>45.066490000000002</v>
      </c>
      <c r="M22" s="20">
        <v>45.066490000000002</v>
      </c>
      <c r="N22" s="20">
        <v>45.066490000000002</v>
      </c>
      <c r="O22" s="20">
        <v>45.066490000000002</v>
      </c>
      <c r="P22" s="55">
        <f t="shared" si="0"/>
        <v>1094.0551500000001</v>
      </c>
    </row>
    <row r="23" spans="2:16" x14ac:dyDescent="0.25">
      <c r="B23" s="20" t="s">
        <v>80</v>
      </c>
      <c r="C23" s="20" t="s">
        <v>46</v>
      </c>
      <c r="D23" s="20">
        <v>275.98201</v>
      </c>
      <c r="E23" s="20">
        <v>175.22107999999997</v>
      </c>
      <c r="F23" s="20">
        <v>101.76695000000001</v>
      </c>
      <c r="G23" s="20">
        <v>115.31261000000001</v>
      </c>
      <c r="H23" s="20">
        <v>14.885669999999999</v>
      </c>
      <c r="I23" s="20">
        <v>14.21937</v>
      </c>
      <c r="J23" s="20">
        <v>73.401719999999997</v>
      </c>
      <c r="K23" s="20">
        <v>10.882489999999999</v>
      </c>
      <c r="L23" s="20">
        <v>10.519959999999999</v>
      </c>
      <c r="M23" s="20">
        <v>10.13964</v>
      </c>
      <c r="N23" s="20">
        <v>9.8854900000000008</v>
      </c>
      <c r="O23" s="20">
        <v>0.71934949999999998</v>
      </c>
      <c r="P23" s="55">
        <f t="shared" si="0"/>
        <v>812.9363394999998</v>
      </c>
    </row>
    <row r="24" spans="2:16" x14ac:dyDescent="0.25">
      <c r="B24" s="20" t="s">
        <v>80</v>
      </c>
      <c r="C24" s="20" t="s">
        <v>13</v>
      </c>
      <c r="D24" s="20">
        <v>275.98201</v>
      </c>
      <c r="E24" s="20">
        <v>175.22107999999997</v>
      </c>
      <c r="F24" s="20">
        <v>50.766950000000001</v>
      </c>
      <c r="G24" s="20">
        <v>21.562609999999999</v>
      </c>
      <c r="H24" s="20">
        <v>14.885669999999999</v>
      </c>
      <c r="I24" s="20">
        <v>14.21937</v>
      </c>
      <c r="J24" s="20">
        <v>10.88232</v>
      </c>
      <c r="K24" s="20">
        <v>10.882489999999999</v>
      </c>
      <c r="L24" s="20">
        <v>10.519959999999999</v>
      </c>
      <c r="M24" s="20">
        <v>10.13964</v>
      </c>
      <c r="N24" s="20">
        <v>9.8854900000000008</v>
      </c>
      <c r="O24" s="20">
        <v>0</v>
      </c>
      <c r="P24" s="55">
        <f t="shared" si="0"/>
        <v>604.94758999999999</v>
      </c>
    </row>
    <row r="25" spans="2:16" x14ac:dyDescent="0.25"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2:16" x14ac:dyDescent="0.25"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2:16" x14ac:dyDescent="0.25"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</sheetData>
  <mergeCells count="1">
    <mergeCell ref="D3:O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pIndGrp.Execute">
                <anchor moveWithCells="1" siz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2819400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pGrBet"/>
  <dimension ref="B1:P27"/>
  <sheetViews>
    <sheetView showGridLines="0" tabSelected="1" zoomScale="85" zoomScaleNormal="85" workbookViewId="0">
      <selection activeCell="I10" sqref="I10"/>
    </sheetView>
  </sheetViews>
  <sheetFormatPr defaultRowHeight="15" x14ac:dyDescent="0.25"/>
  <cols>
    <col min="1" max="1" width="9.28515625" customWidth="1"/>
    <col min="2" max="2" width="43.28515625" customWidth="1"/>
    <col min="3" max="3" width="39.5703125" customWidth="1"/>
    <col min="4" max="15" width="11.28515625" customWidth="1"/>
    <col min="16" max="16" width="11.140625" customWidth="1"/>
  </cols>
  <sheetData>
    <row r="1" spans="2:16" ht="41.25" customHeight="1" x14ac:dyDescent="0.25"/>
    <row r="2" spans="2:16" ht="15.75" thickBot="1" x14ac:dyDescent="0.3">
      <c r="B2" s="19">
        <v>42452.497673611113</v>
      </c>
    </row>
    <row r="3" spans="2:16" ht="15.75" customHeight="1" x14ac:dyDescent="0.25">
      <c r="C3" s="27"/>
      <c r="D3" s="62">
        <v>2016</v>
      </c>
      <c r="E3" s="63"/>
      <c r="F3" s="63"/>
      <c r="G3" s="63"/>
      <c r="H3" s="63"/>
      <c r="I3" s="63"/>
      <c r="J3" s="63"/>
      <c r="K3" s="63"/>
      <c r="L3" s="63"/>
      <c r="M3" s="63"/>
      <c r="N3" s="63"/>
      <c r="O3" s="64"/>
      <c r="P3" s="11"/>
    </row>
    <row r="4" spans="2:16" s="28" customFormat="1" ht="15.75" customHeight="1" x14ac:dyDescent="0.25">
      <c r="B4" s="29" t="s">
        <v>51</v>
      </c>
      <c r="C4" s="30" t="s">
        <v>50</v>
      </c>
      <c r="D4" s="31" t="s">
        <v>0</v>
      </c>
      <c r="E4" s="31" t="s">
        <v>1</v>
      </c>
      <c r="F4" s="31" t="s">
        <v>2</v>
      </c>
      <c r="G4" s="31" t="s">
        <v>3</v>
      </c>
      <c r="H4" s="31" t="s">
        <v>4</v>
      </c>
      <c r="I4" s="31" t="s">
        <v>5</v>
      </c>
      <c r="J4" s="31" t="s">
        <v>6</v>
      </c>
      <c r="K4" s="31" t="s">
        <v>7</v>
      </c>
      <c r="L4" s="31" t="s">
        <v>8</v>
      </c>
      <c r="M4" s="31" t="s">
        <v>9</v>
      </c>
      <c r="N4" s="31" t="s">
        <v>10</v>
      </c>
      <c r="O4" s="31" t="s">
        <v>11</v>
      </c>
      <c r="P4" s="32" t="s">
        <v>26</v>
      </c>
    </row>
    <row r="5" spans="2:16" x14ac:dyDescent="0.25">
      <c r="B5" s="20" t="s">
        <v>97</v>
      </c>
      <c r="C5" s="20" t="s">
        <v>82</v>
      </c>
      <c r="D5" s="20">
        <v>207.66284999999999</v>
      </c>
      <c r="E5" s="20">
        <v>171.32522</v>
      </c>
      <c r="F5" s="20">
        <v>219.3829020026667</v>
      </c>
      <c r="G5" s="20">
        <v>197.06012857991666</v>
      </c>
      <c r="H5" s="20">
        <v>224.09079011241667</v>
      </c>
      <c r="I5" s="20">
        <v>184.14289011241667</v>
      </c>
      <c r="J5" s="20">
        <v>186.30213026481331</v>
      </c>
      <c r="K5" s="20">
        <v>133.75786776481334</v>
      </c>
      <c r="L5" s="20">
        <v>133.34602776481333</v>
      </c>
      <c r="M5" s="20">
        <v>137.36568776481332</v>
      </c>
      <c r="N5" s="20">
        <v>132.67094076481331</v>
      </c>
      <c r="O5" s="20">
        <v>127.84298026481335</v>
      </c>
      <c r="P5" s="55">
        <f>IF(ISBLANK(B5),"",SUM(D5:O5))</f>
        <v>2054.9504153962966</v>
      </c>
    </row>
    <row r="6" spans="2:16" x14ac:dyDescent="0.25">
      <c r="B6" s="20" t="s">
        <v>97</v>
      </c>
      <c r="C6" s="20" t="s">
        <v>83</v>
      </c>
      <c r="D6" s="20">
        <v>207.66284999999999</v>
      </c>
      <c r="E6" s="20">
        <v>171.32522</v>
      </c>
      <c r="F6" s="20">
        <v>209.42822666666666</v>
      </c>
      <c r="G6" s="20">
        <v>168.79896666666667</v>
      </c>
      <c r="H6" s="20">
        <v>147.14358666666666</v>
      </c>
      <c r="I6" s="20">
        <v>142.58223666666666</v>
      </c>
      <c r="J6" s="20">
        <v>138.20004</v>
      </c>
      <c r="K6" s="20">
        <v>39.72784</v>
      </c>
      <c r="L6" s="20">
        <v>38.386899999999997</v>
      </c>
      <c r="M6" s="20">
        <v>38.00656</v>
      </c>
      <c r="N6" s="20">
        <v>36.937049999999999</v>
      </c>
      <c r="O6" s="20">
        <v>25.819340000000004</v>
      </c>
      <c r="P6" s="55">
        <f t="shared" ref="P6:P24" si="0">IF(ISBLANK(B6),"",SUM(D6:O6))</f>
        <v>1364.0188166666667</v>
      </c>
    </row>
    <row r="7" spans="2:16" x14ac:dyDescent="0.25">
      <c r="B7" s="20" t="s">
        <v>99</v>
      </c>
      <c r="C7" s="20" t="s">
        <v>82</v>
      </c>
      <c r="D7" s="20">
        <v>866.52640999999994</v>
      </c>
      <c r="E7" s="20">
        <v>920.97438</v>
      </c>
      <c r="F7" s="20">
        <v>346.41100799999998</v>
      </c>
      <c r="G7" s="20">
        <v>724.96199999999999</v>
      </c>
      <c r="H7" s="20">
        <v>394.82649999999995</v>
      </c>
      <c r="I7" s="20">
        <v>127.86199999999999</v>
      </c>
      <c r="J7" s="20">
        <v>149.67579999999998</v>
      </c>
      <c r="K7" s="20">
        <v>50</v>
      </c>
      <c r="L7" s="20">
        <v>128.87</v>
      </c>
      <c r="M7" s="20">
        <v>53</v>
      </c>
      <c r="N7" s="20">
        <v>25</v>
      </c>
      <c r="O7" s="20">
        <v>25</v>
      </c>
      <c r="P7" s="55">
        <f t="shared" si="0"/>
        <v>3813.1080980000002</v>
      </c>
    </row>
    <row r="8" spans="2:16" x14ac:dyDescent="0.25">
      <c r="B8" s="20" t="s">
        <v>99</v>
      </c>
      <c r="C8" s="20" t="s">
        <v>83</v>
      </c>
      <c r="D8" s="20">
        <v>866.52640999999994</v>
      </c>
      <c r="E8" s="20">
        <v>920.97438</v>
      </c>
      <c r="F8" s="20">
        <v>346.41100799999998</v>
      </c>
      <c r="G8" s="20">
        <v>709.96199999999999</v>
      </c>
      <c r="H8" s="20">
        <v>25</v>
      </c>
      <c r="I8" s="20">
        <v>25</v>
      </c>
      <c r="J8" s="20">
        <v>25</v>
      </c>
      <c r="K8" s="20">
        <v>25</v>
      </c>
      <c r="L8" s="20">
        <v>25</v>
      </c>
      <c r="M8" s="20">
        <v>25</v>
      </c>
      <c r="N8" s="20">
        <v>25</v>
      </c>
      <c r="O8" s="20">
        <v>25</v>
      </c>
      <c r="P8" s="55">
        <f t="shared" si="0"/>
        <v>3043.8737980000001</v>
      </c>
    </row>
    <row r="9" spans="2:16" x14ac:dyDescent="0.25">
      <c r="B9" s="20" t="s">
        <v>100</v>
      </c>
      <c r="C9" s="20" t="s">
        <v>82</v>
      </c>
      <c r="D9" s="20">
        <v>178.19146999999998</v>
      </c>
      <c r="E9" s="20">
        <v>233.86096000000001</v>
      </c>
      <c r="F9" s="20">
        <v>121.0282</v>
      </c>
      <c r="G9" s="20">
        <v>435.8098</v>
      </c>
      <c r="H9" s="20">
        <v>221.98779999999999</v>
      </c>
      <c r="I9" s="20">
        <v>34.9878</v>
      </c>
      <c r="J9" s="20"/>
      <c r="K9" s="20"/>
      <c r="L9" s="20"/>
      <c r="M9" s="20"/>
      <c r="N9" s="20"/>
      <c r="O9" s="20"/>
      <c r="P9" s="55">
        <f t="shared" si="0"/>
        <v>1225.8660299999999</v>
      </c>
    </row>
    <row r="10" spans="2:16" x14ac:dyDescent="0.25">
      <c r="B10" s="20" t="s">
        <v>100</v>
      </c>
      <c r="C10" s="20" t="s">
        <v>83</v>
      </c>
      <c r="D10" s="20">
        <v>178.19146999999998</v>
      </c>
      <c r="E10" s="20">
        <v>233.86096000000001</v>
      </c>
      <c r="F10" s="20">
        <v>121.0282</v>
      </c>
      <c r="G10" s="20">
        <v>47.979799999999997</v>
      </c>
      <c r="H10" s="20">
        <v>29.9878</v>
      </c>
      <c r="I10" s="20">
        <v>29.9878</v>
      </c>
      <c r="J10" s="20"/>
      <c r="K10" s="20"/>
      <c r="L10" s="20"/>
      <c r="M10" s="20"/>
      <c r="N10" s="20"/>
      <c r="O10" s="20"/>
      <c r="P10" s="55">
        <f t="shared" si="0"/>
        <v>641.03602999999987</v>
      </c>
    </row>
    <row r="11" spans="2:16" ht="15" customHeight="1" x14ac:dyDescent="0.25"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55" t="str">
        <f t="shared" si="0"/>
        <v/>
      </c>
    </row>
    <row r="12" spans="2:16" x14ac:dyDescent="0.25"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55" t="str">
        <f t="shared" si="0"/>
        <v/>
      </c>
    </row>
    <row r="13" spans="2:16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55" t="str">
        <f t="shared" si="0"/>
        <v/>
      </c>
    </row>
    <row r="14" spans="2:16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55" t="str">
        <f t="shared" si="0"/>
        <v/>
      </c>
    </row>
    <row r="15" spans="2:16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55" t="str">
        <f t="shared" si="0"/>
        <v/>
      </c>
    </row>
    <row r="16" spans="2:16" x14ac:dyDescent="0.25"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55" t="str">
        <f t="shared" si="0"/>
        <v/>
      </c>
    </row>
    <row r="17" spans="2:16" x14ac:dyDescent="0.25"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55" t="str">
        <f t="shared" si="0"/>
        <v/>
      </c>
    </row>
    <row r="18" spans="2:16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55" t="str">
        <f t="shared" si="0"/>
        <v/>
      </c>
    </row>
    <row r="19" spans="2:16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55" t="str">
        <f t="shared" si="0"/>
        <v/>
      </c>
    </row>
    <row r="20" spans="2:16" x14ac:dyDescent="0.25"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55" t="str">
        <f t="shared" si="0"/>
        <v/>
      </c>
    </row>
    <row r="21" spans="2:16" x14ac:dyDescent="0.25"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55" t="str">
        <f t="shared" si="0"/>
        <v/>
      </c>
    </row>
    <row r="22" spans="2:16" x14ac:dyDescent="0.25"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55" t="str">
        <f t="shared" si="0"/>
        <v/>
      </c>
    </row>
    <row r="23" spans="2:16" x14ac:dyDescent="0.25"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55" t="str">
        <f t="shared" si="0"/>
        <v/>
      </c>
    </row>
    <row r="24" spans="2:16" x14ac:dyDescent="0.25"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55" t="str">
        <f t="shared" si="0"/>
        <v/>
      </c>
    </row>
    <row r="25" spans="2:16" x14ac:dyDescent="0.25"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2:16" x14ac:dyDescent="0.25"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2:16" x14ac:dyDescent="0.25"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</sheetData>
  <mergeCells count="1">
    <mergeCell ref="D3:O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pGrBet.Execute">
                <anchor moveWithCells="1" siz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2819400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pStrategicClient"/>
  <dimension ref="B1:P15"/>
  <sheetViews>
    <sheetView showGridLines="0" zoomScale="85" zoomScaleNormal="85" workbookViewId="0">
      <selection activeCell="P11" sqref="P11"/>
    </sheetView>
  </sheetViews>
  <sheetFormatPr defaultRowHeight="15" x14ac:dyDescent="0.25"/>
  <cols>
    <col min="1" max="1" width="9.140625" style="28"/>
    <col min="2" max="2" width="38.85546875" style="28" customWidth="1"/>
    <col min="3" max="3" width="22" style="28" customWidth="1"/>
    <col min="4" max="15" width="10.140625" style="28" customWidth="1"/>
    <col min="16" max="16" width="11.5703125" style="28" customWidth="1"/>
    <col min="17" max="16384" width="9.140625" style="28"/>
  </cols>
  <sheetData>
    <row r="1" spans="2:16" ht="51.75" customHeight="1" x14ac:dyDescent="0.25"/>
    <row r="2" spans="2:16" ht="15.75" thickBot="1" x14ac:dyDescent="0.3">
      <c r="B2" s="34">
        <v>42452.495011574072</v>
      </c>
    </row>
    <row r="3" spans="2:16" ht="15.75" thickBot="1" x14ac:dyDescent="0.3">
      <c r="B3" s="35"/>
      <c r="C3" s="39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</row>
    <row r="4" spans="2:16" x14ac:dyDescent="0.25">
      <c r="C4" s="36"/>
      <c r="D4" s="62">
        <v>2016</v>
      </c>
      <c r="E4" s="63"/>
      <c r="F4" s="63"/>
      <c r="G4" s="63"/>
      <c r="H4" s="63"/>
      <c r="I4" s="63"/>
      <c r="J4" s="63"/>
      <c r="K4" s="63"/>
      <c r="L4" s="63"/>
      <c r="M4" s="63"/>
      <c r="N4" s="63"/>
      <c r="O4" s="64"/>
    </row>
    <row r="5" spans="2:16" x14ac:dyDescent="0.25">
      <c r="B5" s="40" t="s">
        <v>59</v>
      </c>
      <c r="C5" s="33" t="s">
        <v>50</v>
      </c>
      <c r="D5" s="37" t="s">
        <v>0</v>
      </c>
      <c r="E5" s="37" t="s">
        <v>1</v>
      </c>
      <c r="F5" s="37" t="s">
        <v>2</v>
      </c>
      <c r="G5" s="37" t="s">
        <v>3</v>
      </c>
      <c r="H5" s="37" t="s">
        <v>4</v>
      </c>
      <c r="I5" s="37" t="s">
        <v>5</v>
      </c>
      <c r="J5" s="37" t="s">
        <v>6</v>
      </c>
      <c r="K5" s="37" t="s">
        <v>7</v>
      </c>
      <c r="L5" s="37" t="s">
        <v>8</v>
      </c>
      <c r="M5" s="37" t="s">
        <v>9</v>
      </c>
      <c r="N5" s="37" t="s">
        <v>10</v>
      </c>
      <c r="O5" s="37" t="s">
        <v>11</v>
      </c>
      <c r="P5" s="16" t="s">
        <v>26</v>
      </c>
    </row>
    <row r="6" spans="2:16" x14ac:dyDescent="0.25">
      <c r="B6" s="38" t="s">
        <v>81</v>
      </c>
      <c r="C6" s="38" t="s">
        <v>82</v>
      </c>
      <c r="D6" s="38">
        <v>17.791630000000001</v>
      </c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>
        <f>IF(ISBLANK(B6),"",SUM(D6:O6))</f>
        <v>17.791630000000001</v>
      </c>
    </row>
    <row r="7" spans="2:16" x14ac:dyDescent="0.25">
      <c r="B7" s="38" t="s">
        <v>81</v>
      </c>
      <c r="C7" s="38" t="s">
        <v>83</v>
      </c>
      <c r="D7" s="38">
        <v>17.791630000000001</v>
      </c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>
        <f t="shared" ref="P7:P15" si="0">IF(ISBLANK(B7),"",SUM(D7:O7))</f>
        <v>17.791630000000001</v>
      </c>
    </row>
    <row r="8" spans="2:16" x14ac:dyDescent="0.25">
      <c r="B8" s="38" t="s">
        <v>84</v>
      </c>
      <c r="C8" s="38" t="s">
        <v>82</v>
      </c>
      <c r="D8" s="38">
        <v>46.088729999999998</v>
      </c>
      <c r="E8" s="38"/>
      <c r="F8" s="38">
        <v>225.13297999999998</v>
      </c>
      <c r="G8" s="38">
        <v>55.066490000000002</v>
      </c>
      <c r="H8" s="38">
        <v>52.066490000000002</v>
      </c>
      <c r="I8" s="38">
        <v>45.066490000000002</v>
      </c>
      <c r="J8" s="38">
        <v>45.066490000000002</v>
      </c>
      <c r="K8" s="38">
        <v>45.066490000000002</v>
      </c>
      <c r="L8" s="38">
        <v>45.066490000000002</v>
      </c>
      <c r="M8" s="38">
        <v>45.066490000000002</v>
      </c>
      <c r="N8" s="38">
        <v>45.066490000000002</v>
      </c>
      <c r="O8" s="38">
        <v>45.066490000000002</v>
      </c>
      <c r="P8" s="38">
        <f t="shared" si="0"/>
        <v>693.82012000000009</v>
      </c>
    </row>
    <row r="9" spans="2:16" x14ac:dyDescent="0.25">
      <c r="B9" s="38" t="s">
        <v>84</v>
      </c>
      <c r="C9" s="38" t="s">
        <v>83</v>
      </c>
      <c r="D9" s="38">
        <v>46.088729999999998</v>
      </c>
      <c r="E9" s="38"/>
      <c r="F9" s="38">
        <v>225.13297999999998</v>
      </c>
      <c r="G9" s="38">
        <v>45.066490000000002</v>
      </c>
      <c r="H9" s="38">
        <v>45.066490000000002</v>
      </c>
      <c r="I9" s="38">
        <v>45.066490000000002</v>
      </c>
      <c r="J9" s="38">
        <v>45.066490000000002</v>
      </c>
      <c r="K9" s="38">
        <v>45.066490000000002</v>
      </c>
      <c r="L9" s="38">
        <v>45.066490000000002</v>
      </c>
      <c r="M9" s="38">
        <v>45.066490000000002</v>
      </c>
      <c r="N9" s="38">
        <v>45.066490000000002</v>
      </c>
      <c r="O9" s="38">
        <v>45.066490000000002</v>
      </c>
      <c r="P9" s="38">
        <f t="shared" si="0"/>
        <v>676.82012000000009</v>
      </c>
    </row>
    <row r="10" spans="2:16" x14ac:dyDescent="0.25">
      <c r="B10" s="38" t="s">
        <v>85</v>
      </c>
      <c r="C10" s="38" t="s">
        <v>82</v>
      </c>
      <c r="D10" s="38"/>
      <c r="E10" s="38"/>
      <c r="F10" s="38"/>
      <c r="G10" s="38"/>
      <c r="H10" s="38"/>
      <c r="I10" s="38">
        <v>10.3</v>
      </c>
      <c r="J10" s="38"/>
      <c r="K10" s="38"/>
      <c r="L10" s="38">
        <v>18.55</v>
      </c>
      <c r="M10" s="38"/>
      <c r="N10" s="38"/>
      <c r="O10" s="38"/>
      <c r="P10" s="38">
        <f t="shared" si="0"/>
        <v>28.85</v>
      </c>
    </row>
    <row r="11" spans="2:16" x14ac:dyDescent="0.25">
      <c r="B11" s="38" t="s">
        <v>85</v>
      </c>
      <c r="C11" s="38" t="s">
        <v>83</v>
      </c>
      <c r="D11" s="38"/>
      <c r="E11" s="38"/>
      <c r="F11" s="38"/>
      <c r="G11" s="38"/>
      <c r="H11" s="38"/>
      <c r="I11" s="38">
        <v>0</v>
      </c>
      <c r="J11" s="38"/>
      <c r="K11" s="38"/>
      <c r="L11" s="38">
        <v>0</v>
      </c>
      <c r="M11" s="38"/>
      <c r="N11" s="38"/>
      <c r="O11" s="38"/>
      <c r="P11" s="38">
        <f t="shared" si="0"/>
        <v>0</v>
      </c>
    </row>
    <row r="12" spans="2:16" x14ac:dyDescent="0.25">
      <c r="B12" s="38" t="s">
        <v>86</v>
      </c>
      <c r="C12" s="38" t="s">
        <v>82</v>
      </c>
      <c r="D12" s="38">
        <v>19.735849999999999</v>
      </c>
      <c r="E12" s="38">
        <v>319.73585000000003</v>
      </c>
      <c r="F12" s="38">
        <v>40.235849999999999</v>
      </c>
      <c r="G12" s="38">
        <v>19.735849999999999</v>
      </c>
      <c r="H12" s="38">
        <v>18.749010000000002</v>
      </c>
      <c r="I12" s="38">
        <v>18.749010000000002</v>
      </c>
      <c r="J12" s="38">
        <v>18.749010000000002</v>
      </c>
      <c r="K12" s="38">
        <v>18.749010000000002</v>
      </c>
      <c r="L12" s="38">
        <v>18.749010000000002</v>
      </c>
      <c r="M12" s="38">
        <v>18.749010000000002</v>
      </c>
      <c r="N12" s="38">
        <v>18.749010000000002</v>
      </c>
      <c r="O12" s="38">
        <v>18.749010000000002</v>
      </c>
      <c r="P12" s="38">
        <f t="shared" si="0"/>
        <v>549.4354800000001</v>
      </c>
    </row>
    <row r="13" spans="2:16" x14ac:dyDescent="0.25">
      <c r="B13" s="38" t="s">
        <v>86</v>
      </c>
      <c r="C13" s="38" t="s">
        <v>83</v>
      </c>
      <c r="D13" s="38">
        <v>19.735849999999999</v>
      </c>
      <c r="E13" s="38">
        <v>319.73585000000003</v>
      </c>
      <c r="F13" s="38">
        <v>40.235849999999999</v>
      </c>
      <c r="G13" s="38">
        <v>19.735849999999999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f t="shared" si="0"/>
        <v>399.44340000000011</v>
      </c>
    </row>
    <row r="14" spans="2:16" x14ac:dyDescent="0.25"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 t="str">
        <f t="shared" si="0"/>
        <v/>
      </c>
    </row>
    <row r="15" spans="2:16" x14ac:dyDescent="0.25"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 t="str">
        <f t="shared" si="0"/>
        <v/>
      </c>
    </row>
  </sheetData>
  <autoFilter ref="B4:P6"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</autoFilter>
  <mergeCells count="1">
    <mergeCell ref="D4:O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pStrategicClient.Execute">
                <anchor moveWithCells="1" sizeWithCells="1">
                  <from>
                    <xdr:col>1</xdr:col>
                    <xdr:colOff>19050</xdr:colOff>
                    <xdr:row>0</xdr:row>
                    <xdr:rowOff>114300</xdr:rowOff>
                  </from>
                  <to>
                    <xdr:col>1</xdr:col>
                    <xdr:colOff>2428875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pPlatClient"/>
  <dimension ref="B1:P36"/>
  <sheetViews>
    <sheetView showGridLines="0" zoomScale="85" zoomScaleNormal="85" workbookViewId="0">
      <selection activeCell="M11" sqref="M11"/>
    </sheetView>
  </sheetViews>
  <sheetFormatPr defaultRowHeight="15" x14ac:dyDescent="0.25"/>
  <cols>
    <col min="2" max="2" width="39.85546875" bestFit="1" customWidth="1"/>
    <col min="3" max="3" width="18.42578125" bestFit="1" customWidth="1"/>
    <col min="4" max="4" width="7.7109375" bestFit="1" customWidth="1"/>
    <col min="5" max="5" width="8.85546875" bestFit="1" customWidth="1"/>
    <col min="6" max="6" width="6.5703125" bestFit="1" customWidth="1"/>
    <col min="7" max="7" width="5.28515625" bestFit="1" customWidth="1"/>
    <col min="8" max="8" width="4.7109375" bestFit="1" customWidth="1"/>
    <col min="9" max="9" width="5.140625" bestFit="1" customWidth="1"/>
    <col min="10" max="10" width="4.42578125" bestFit="1" customWidth="1"/>
    <col min="11" max="11" width="7.140625" bestFit="1" customWidth="1"/>
    <col min="12" max="12" width="10.85546875" bestFit="1" customWidth="1"/>
    <col min="13" max="13" width="8.140625" bestFit="1" customWidth="1"/>
    <col min="14" max="14" width="10.42578125" bestFit="1" customWidth="1"/>
    <col min="15" max="15" width="10.140625" customWidth="1"/>
    <col min="16" max="16" width="11.42578125" bestFit="1" customWidth="1"/>
  </cols>
  <sheetData>
    <row r="1" spans="2:16" ht="57.75" customHeight="1" x14ac:dyDescent="0.25"/>
    <row r="2" spans="2:16" ht="42.75" customHeight="1" thickBot="1" x14ac:dyDescent="0.3">
      <c r="B2" s="34">
        <v>42452.495046296295</v>
      </c>
    </row>
    <row r="3" spans="2:16" x14ac:dyDescent="0.25">
      <c r="C3" s="48"/>
      <c r="D3" s="62">
        <v>2016</v>
      </c>
      <c r="E3" s="63"/>
      <c r="F3" s="63"/>
      <c r="G3" s="63"/>
      <c r="H3" s="63"/>
      <c r="I3" s="63"/>
      <c r="J3" s="63"/>
      <c r="K3" s="63"/>
      <c r="L3" s="63"/>
      <c r="M3" s="63"/>
      <c r="N3" s="63"/>
      <c r="O3" s="64"/>
    </row>
    <row r="4" spans="2:16" x14ac:dyDescent="0.25">
      <c r="B4" s="51" t="s">
        <v>59</v>
      </c>
      <c r="C4" s="52" t="s">
        <v>50</v>
      </c>
      <c r="D4" s="2" t="s">
        <v>0</v>
      </c>
      <c r="E4" s="2" t="s">
        <v>1</v>
      </c>
      <c r="F4" s="2" t="s">
        <v>2</v>
      </c>
      <c r="G4" s="2" t="s">
        <v>3</v>
      </c>
      <c r="H4" s="2" t="s">
        <v>4</v>
      </c>
      <c r="I4" s="2" t="s">
        <v>5</v>
      </c>
      <c r="J4" s="2" t="s">
        <v>6</v>
      </c>
      <c r="K4" s="2" t="s">
        <v>7</v>
      </c>
      <c r="L4" s="2" t="s">
        <v>8</v>
      </c>
      <c r="M4" s="2" t="s">
        <v>9</v>
      </c>
      <c r="N4" s="2" t="s">
        <v>10</v>
      </c>
      <c r="O4" s="2" t="s">
        <v>11</v>
      </c>
      <c r="P4" s="16" t="s">
        <v>26</v>
      </c>
    </row>
    <row r="5" spans="2:16" x14ac:dyDescent="0.25">
      <c r="B5" s="20" t="s">
        <v>87</v>
      </c>
      <c r="C5" s="20" t="s">
        <v>82</v>
      </c>
      <c r="D5" s="20">
        <v>33.879109999999997</v>
      </c>
      <c r="E5" s="20">
        <v>268.47872999999998</v>
      </c>
      <c r="F5" s="20">
        <v>17.263120000000001</v>
      </c>
      <c r="G5" s="20">
        <v>0</v>
      </c>
      <c r="H5" s="20"/>
      <c r="I5" s="20"/>
      <c r="J5" s="20"/>
      <c r="K5" s="20"/>
      <c r="L5" s="20"/>
      <c r="M5" s="20"/>
      <c r="N5" s="20"/>
      <c r="O5" s="20"/>
      <c r="P5" s="20">
        <f>IF(ISBLANK(B5),"",SUM(D5:O5))</f>
        <v>319.62096000000003</v>
      </c>
    </row>
    <row r="6" spans="2:16" x14ac:dyDescent="0.25">
      <c r="B6" s="20" t="s">
        <v>87</v>
      </c>
      <c r="C6" s="20" t="s">
        <v>83</v>
      </c>
      <c r="D6" s="20">
        <v>33.879109999999997</v>
      </c>
      <c r="E6" s="20">
        <v>268.47872999999998</v>
      </c>
      <c r="F6" s="20">
        <v>17.263120000000001</v>
      </c>
      <c r="G6" s="20">
        <v>0</v>
      </c>
      <c r="H6" s="20"/>
      <c r="I6" s="20"/>
      <c r="J6" s="20"/>
      <c r="K6" s="20"/>
      <c r="L6" s="20"/>
      <c r="M6" s="20"/>
      <c r="N6" s="20"/>
      <c r="O6" s="20"/>
      <c r="P6" s="20">
        <f t="shared" ref="P6:P24" si="0">IF(ISBLANK(B6),"",SUM(D6:O6))</f>
        <v>319.62096000000003</v>
      </c>
    </row>
    <row r="7" spans="2:16" x14ac:dyDescent="0.25">
      <c r="B7" s="20" t="s">
        <v>88</v>
      </c>
      <c r="C7" s="20" t="s">
        <v>82</v>
      </c>
      <c r="D7" s="20"/>
      <c r="E7" s="20"/>
      <c r="F7" s="20"/>
      <c r="G7" s="20"/>
      <c r="H7" s="20">
        <v>233.10899999999998</v>
      </c>
      <c r="I7" s="20"/>
      <c r="J7" s="20"/>
      <c r="K7" s="20"/>
      <c r="L7" s="20"/>
      <c r="M7" s="20"/>
      <c r="N7" s="20"/>
      <c r="O7" s="20"/>
      <c r="P7" s="20">
        <f t="shared" si="0"/>
        <v>233.10899999999998</v>
      </c>
    </row>
    <row r="8" spans="2:16" x14ac:dyDescent="0.25">
      <c r="B8" s="20" t="s">
        <v>88</v>
      </c>
      <c r="C8" s="20" t="s">
        <v>83</v>
      </c>
      <c r="D8" s="20"/>
      <c r="E8" s="20"/>
      <c r="F8" s="20"/>
      <c r="G8" s="20"/>
      <c r="H8" s="20">
        <v>0</v>
      </c>
      <c r="I8" s="20"/>
      <c r="J8" s="20"/>
      <c r="K8" s="20"/>
      <c r="L8" s="20"/>
      <c r="M8" s="20"/>
      <c r="N8" s="20"/>
      <c r="O8" s="20"/>
      <c r="P8" s="20">
        <f t="shared" si="0"/>
        <v>0</v>
      </c>
    </row>
    <row r="9" spans="2:16" x14ac:dyDescent="0.25">
      <c r="B9" s="20" t="s">
        <v>89</v>
      </c>
      <c r="C9" s="20" t="s">
        <v>82</v>
      </c>
      <c r="D9" s="20">
        <v>414.5247</v>
      </c>
      <c r="E9" s="20">
        <v>273.21527000000003</v>
      </c>
      <c r="F9" s="20">
        <v>30.398</v>
      </c>
      <c r="G9" s="20">
        <v>29.9878</v>
      </c>
      <c r="H9" s="20">
        <v>29.9878</v>
      </c>
      <c r="I9" s="20">
        <v>29.9878</v>
      </c>
      <c r="J9" s="20"/>
      <c r="K9" s="20"/>
      <c r="L9" s="20"/>
      <c r="M9" s="20"/>
      <c r="N9" s="20"/>
      <c r="O9" s="20"/>
      <c r="P9" s="20">
        <f t="shared" si="0"/>
        <v>808.10137000000009</v>
      </c>
    </row>
    <row r="10" spans="2:16" x14ac:dyDescent="0.25">
      <c r="B10" s="20" t="s">
        <v>89</v>
      </c>
      <c r="C10" s="20" t="s">
        <v>83</v>
      </c>
      <c r="D10" s="20">
        <v>414.5247</v>
      </c>
      <c r="E10" s="20">
        <v>273.21527000000003</v>
      </c>
      <c r="F10" s="20">
        <v>30.398</v>
      </c>
      <c r="G10" s="20">
        <v>29.9878</v>
      </c>
      <c r="H10" s="20">
        <v>29.9878</v>
      </c>
      <c r="I10" s="20">
        <v>29.9878</v>
      </c>
      <c r="J10" s="20"/>
      <c r="K10" s="20"/>
      <c r="L10" s="20"/>
      <c r="M10" s="20"/>
      <c r="N10" s="20"/>
      <c r="O10" s="20"/>
      <c r="P10" s="20">
        <f t="shared" si="0"/>
        <v>808.10137000000009</v>
      </c>
    </row>
    <row r="11" spans="2:16" x14ac:dyDescent="0.25">
      <c r="B11" s="20" t="s">
        <v>90</v>
      </c>
      <c r="C11" s="20" t="s">
        <v>82</v>
      </c>
      <c r="D11" s="20"/>
      <c r="E11" s="20"/>
      <c r="F11" s="20"/>
      <c r="G11" s="20">
        <v>5.2934527012499997</v>
      </c>
      <c r="H11" s="20">
        <v>1.7644842337500024</v>
      </c>
      <c r="I11" s="20">
        <v>1.7644842337500024</v>
      </c>
      <c r="J11" s="20">
        <v>1.7644842337500024</v>
      </c>
      <c r="K11" s="20">
        <v>1.7644842337500024</v>
      </c>
      <c r="L11" s="20">
        <v>1.7644842337500024</v>
      </c>
      <c r="M11" s="20">
        <v>1.7644842337500024</v>
      </c>
      <c r="N11" s="20">
        <v>1.7644842337500024</v>
      </c>
      <c r="O11" s="20">
        <v>1.7644842337500024</v>
      </c>
      <c r="P11" s="20">
        <f t="shared" si="0"/>
        <v>19.40932657125002</v>
      </c>
    </row>
    <row r="12" spans="2:16" x14ac:dyDescent="0.25">
      <c r="B12" s="20" t="s">
        <v>90</v>
      </c>
      <c r="C12" s="20" t="s">
        <v>83</v>
      </c>
      <c r="D12" s="20"/>
      <c r="E12" s="20"/>
      <c r="F12" s="20"/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f t="shared" si="0"/>
        <v>0</v>
      </c>
    </row>
    <row r="13" spans="2:16" x14ac:dyDescent="0.25">
      <c r="B13" s="20" t="s">
        <v>91</v>
      </c>
      <c r="C13" s="20" t="s">
        <v>82</v>
      </c>
      <c r="D13" s="20">
        <v>13.04088</v>
      </c>
      <c r="E13" s="20">
        <v>107.72</v>
      </c>
      <c r="F13" s="20"/>
      <c r="G13" s="20">
        <v>241.3</v>
      </c>
      <c r="H13" s="20">
        <v>95.2</v>
      </c>
      <c r="I13" s="20"/>
      <c r="J13" s="20"/>
      <c r="K13" s="20"/>
      <c r="L13" s="20"/>
      <c r="M13" s="20"/>
      <c r="N13" s="20"/>
      <c r="O13" s="20"/>
      <c r="P13" s="20">
        <f t="shared" si="0"/>
        <v>457.26087999999999</v>
      </c>
    </row>
    <row r="14" spans="2:16" x14ac:dyDescent="0.25">
      <c r="B14" s="20" t="s">
        <v>91</v>
      </c>
      <c r="C14" s="20" t="s">
        <v>83</v>
      </c>
      <c r="D14" s="20">
        <v>13.04088</v>
      </c>
      <c r="E14" s="20">
        <v>107.72</v>
      </c>
      <c r="F14" s="20"/>
      <c r="G14" s="20">
        <v>241.3</v>
      </c>
      <c r="H14" s="20">
        <v>0</v>
      </c>
      <c r="I14" s="20"/>
      <c r="J14" s="20"/>
      <c r="K14" s="20"/>
      <c r="L14" s="20"/>
      <c r="M14" s="20"/>
      <c r="N14" s="20"/>
      <c r="O14" s="20"/>
      <c r="P14" s="20">
        <f t="shared" si="0"/>
        <v>362.06088</v>
      </c>
    </row>
    <row r="15" spans="2:16" x14ac:dyDescent="0.25">
      <c r="B15" s="20" t="s">
        <v>92</v>
      </c>
      <c r="C15" s="20" t="s">
        <v>82</v>
      </c>
      <c r="D15" s="20"/>
      <c r="E15" s="20"/>
      <c r="F15" s="20">
        <v>78.5</v>
      </c>
      <c r="G15" s="20"/>
      <c r="H15" s="20">
        <v>15</v>
      </c>
      <c r="I15" s="20">
        <v>67.88</v>
      </c>
      <c r="J15" s="20"/>
      <c r="K15" s="20"/>
      <c r="L15" s="20"/>
      <c r="M15" s="20"/>
      <c r="N15" s="20"/>
      <c r="O15" s="20"/>
      <c r="P15" s="20">
        <f t="shared" si="0"/>
        <v>161.38</v>
      </c>
    </row>
    <row r="16" spans="2:16" x14ac:dyDescent="0.25">
      <c r="B16" s="20" t="s">
        <v>92</v>
      </c>
      <c r="C16" s="20" t="s">
        <v>83</v>
      </c>
      <c r="D16" s="20"/>
      <c r="E16" s="20"/>
      <c r="F16" s="20">
        <v>0</v>
      </c>
      <c r="G16" s="20"/>
      <c r="H16" s="20">
        <v>0</v>
      </c>
      <c r="I16" s="20">
        <v>0</v>
      </c>
      <c r="J16" s="20"/>
      <c r="K16" s="20"/>
      <c r="L16" s="20"/>
      <c r="M16" s="20"/>
      <c r="N16" s="20"/>
      <c r="O16" s="20"/>
      <c r="P16" s="20">
        <f t="shared" si="0"/>
        <v>0</v>
      </c>
    </row>
    <row r="17" spans="2:16" x14ac:dyDescent="0.25">
      <c r="B17" s="20" t="s">
        <v>93</v>
      </c>
      <c r="C17" s="20" t="s">
        <v>82</v>
      </c>
      <c r="D17" s="20">
        <v>95.298829999999995</v>
      </c>
      <c r="E17" s="20">
        <v>98.289940000000001</v>
      </c>
      <c r="F17" s="20">
        <v>121.51658999999999</v>
      </c>
      <c r="G17" s="20">
        <v>96.316589999999991</v>
      </c>
      <c r="H17" s="20">
        <v>96.316589999999991</v>
      </c>
      <c r="I17" s="20">
        <v>96.316589999999991</v>
      </c>
      <c r="J17" s="20">
        <v>96.328589999999991</v>
      </c>
      <c r="K17" s="20">
        <v>49.144950000000001</v>
      </c>
      <c r="L17" s="20">
        <v>49.144950000000001</v>
      </c>
      <c r="M17" s="20">
        <v>49.144950000000001</v>
      </c>
      <c r="N17" s="20">
        <v>49.144950000000001</v>
      </c>
      <c r="O17" s="20">
        <v>49.144950000000001</v>
      </c>
      <c r="P17" s="20">
        <f t="shared" si="0"/>
        <v>946.10847000000001</v>
      </c>
    </row>
    <row r="18" spans="2:16" x14ac:dyDescent="0.25">
      <c r="B18" s="20" t="s">
        <v>93</v>
      </c>
      <c r="C18" s="20" t="s">
        <v>83</v>
      </c>
      <c r="D18" s="20">
        <v>95.298829999999995</v>
      </c>
      <c r="E18" s="20">
        <v>98.289940000000001</v>
      </c>
      <c r="F18" s="20">
        <v>96.316589999999991</v>
      </c>
      <c r="G18" s="20">
        <v>96.316589999999991</v>
      </c>
      <c r="H18" s="20">
        <v>96.316589999999991</v>
      </c>
      <c r="I18" s="20">
        <v>96.316589999999991</v>
      </c>
      <c r="J18" s="20">
        <v>96.328589999999991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f t="shared" si="0"/>
        <v>675.18371999999999</v>
      </c>
    </row>
    <row r="19" spans="2:16" x14ac:dyDescent="0.25">
      <c r="B19" s="20" t="s">
        <v>94</v>
      </c>
      <c r="C19" s="20" t="s">
        <v>82</v>
      </c>
      <c r="D19" s="20"/>
      <c r="E19" s="20"/>
      <c r="F19" s="20">
        <v>2.3774103360000036</v>
      </c>
      <c r="G19" s="20">
        <v>25.518939212000006</v>
      </c>
      <c r="H19" s="20">
        <v>3.2689392120000051</v>
      </c>
      <c r="I19" s="20">
        <v>3.2689392120000051</v>
      </c>
      <c r="J19" s="20">
        <v>3.2689392120000051</v>
      </c>
      <c r="K19" s="20">
        <v>28.268939212000006</v>
      </c>
      <c r="L19" s="20">
        <v>3.2689392120000051</v>
      </c>
      <c r="M19" s="20">
        <v>31.268939212000006</v>
      </c>
      <c r="N19" s="20">
        <v>3.2689392120000051</v>
      </c>
      <c r="O19" s="20">
        <v>3.2689392120000051</v>
      </c>
      <c r="P19" s="20">
        <f t="shared" si="0"/>
        <v>107.04786324400007</v>
      </c>
    </row>
    <row r="20" spans="2:16" x14ac:dyDescent="0.25">
      <c r="B20" s="20" t="s">
        <v>94</v>
      </c>
      <c r="C20" s="20" t="s">
        <v>83</v>
      </c>
      <c r="D20" s="20"/>
      <c r="E20" s="20"/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  <c r="P20" s="20">
        <f t="shared" si="0"/>
        <v>0</v>
      </c>
    </row>
    <row r="21" spans="2:16" x14ac:dyDescent="0.25">
      <c r="B21" s="20" t="s">
        <v>95</v>
      </c>
      <c r="C21" s="20" t="s">
        <v>82</v>
      </c>
      <c r="D21" s="20">
        <v>70.994039999999998</v>
      </c>
      <c r="E21" s="20"/>
      <c r="F21" s="20"/>
      <c r="G21" s="20"/>
      <c r="H21" s="20"/>
      <c r="I21" s="20"/>
      <c r="J21" s="20"/>
      <c r="K21" s="20"/>
      <c r="L21" s="20">
        <v>85.32</v>
      </c>
      <c r="M21" s="20"/>
      <c r="N21" s="20"/>
      <c r="O21" s="20"/>
      <c r="P21" s="20">
        <f t="shared" si="0"/>
        <v>156.31403999999998</v>
      </c>
    </row>
    <row r="22" spans="2:16" x14ac:dyDescent="0.25">
      <c r="B22" s="20" t="s">
        <v>95</v>
      </c>
      <c r="C22" s="20" t="s">
        <v>83</v>
      </c>
      <c r="D22" s="20">
        <v>70.994039999999998</v>
      </c>
      <c r="E22" s="20"/>
      <c r="F22" s="20"/>
      <c r="G22" s="20"/>
      <c r="H22" s="20"/>
      <c r="I22" s="20"/>
      <c r="J22" s="20"/>
      <c r="K22" s="20"/>
      <c r="L22" s="20">
        <v>0</v>
      </c>
      <c r="M22" s="20"/>
      <c r="N22" s="20"/>
      <c r="O22" s="20"/>
      <c r="P22" s="20">
        <f t="shared" si="0"/>
        <v>70.994039999999998</v>
      </c>
    </row>
    <row r="23" spans="2:16" x14ac:dyDescent="0.25">
      <c r="B23" s="20" t="s">
        <v>96</v>
      </c>
      <c r="C23" s="20" t="s">
        <v>82</v>
      </c>
      <c r="D23" s="20"/>
      <c r="E23" s="20"/>
      <c r="F23" s="20"/>
      <c r="G23" s="20">
        <v>85.07</v>
      </c>
      <c r="H23" s="20"/>
      <c r="I23" s="20"/>
      <c r="J23" s="20"/>
      <c r="K23" s="20"/>
      <c r="L23" s="20"/>
      <c r="M23" s="20"/>
      <c r="N23" s="20"/>
      <c r="O23" s="20"/>
      <c r="P23" s="20">
        <f t="shared" si="0"/>
        <v>85.07</v>
      </c>
    </row>
    <row r="24" spans="2:16" x14ac:dyDescent="0.25">
      <c r="B24" s="20" t="s">
        <v>96</v>
      </c>
      <c r="C24" s="20" t="s">
        <v>83</v>
      </c>
      <c r="D24" s="20"/>
      <c r="E24" s="20"/>
      <c r="F24" s="20"/>
      <c r="G24" s="20">
        <v>80.069999999999993</v>
      </c>
      <c r="H24" s="20"/>
      <c r="I24" s="20"/>
      <c r="J24" s="20"/>
      <c r="K24" s="20"/>
      <c r="L24" s="20"/>
      <c r="M24" s="20"/>
      <c r="N24" s="20"/>
      <c r="O24" s="20"/>
      <c r="P24" s="20">
        <f t="shared" si="0"/>
        <v>80.069999999999993</v>
      </c>
    </row>
    <row r="36" spans="3:3" x14ac:dyDescent="0.25">
      <c r="C36" s="54"/>
    </row>
  </sheetData>
  <mergeCells count="1">
    <mergeCell ref="D3:O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pPlatClient.Execute">
                <anchor moveWithCells="1" sizeWithCells="1">
                  <from>
                    <xdr:col>1</xdr:col>
                    <xdr:colOff>85725</xdr:colOff>
                    <xdr:row>0</xdr:row>
                    <xdr:rowOff>85725</xdr:rowOff>
                  </from>
                  <to>
                    <xdr:col>1</xdr:col>
                    <xdr:colOff>2819400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SlsConsultant"/>
  <dimension ref="B1:P27"/>
  <sheetViews>
    <sheetView workbookViewId="0">
      <selection activeCell="C5" sqref="C5"/>
    </sheetView>
  </sheetViews>
  <sheetFormatPr defaultRowHeight="15" x14ac:dyDescent="0.25"/>
  <cols>
    <col min="2" max="2" width="26.42578125" bestFit="1" customWidth="1"/>
    <col min="4" max="15" width="11.140625" customWidth="1"/>
  </cols>
  <sheetData>
    <row r="1" spans="2:16" ht="15.75" thickBot="1" x14ac:dyDescent="0.3"/>
    <row r="2" spans="2:16" x14ac:dyDescent="0.25">
      <c r="B2" s="67" t="s">
        <v>25</v>
      </c>
      <c r="C2" s="68"/>
      <c r="D2" s="62">
        <v>2016</v>
      </c>
      <c r="E2" s="63"/>
      <c r="F2" s="63"/>
      <c r="G2" s="63"/>
      <c r="H2" s="63"/>
      <c r="I2" s="63"/>
      <c r="J2" s="63"/>
      <c r="K2" s="63"/>
      <c r="L2" s="63"/>
      <c r="M2" s="63"/>
      <c r="N2" s="63"/>
      <c r="O2" s="64"/>
    </row>
    <row r="3" spans="2:16" ht="15.75" thickBot="1" x14ac:dyDescent="0.3">
      <c r="B3" s="69"/>
      <c r="C3" s="69"/>
      <c r="D3" s="2" t="s">
        <v>0</v>
      </c>
      <c r="E3" s="2" t="s">
        <v>1</v>
      </c>
      <c r="F3" s="2" t="s">
        <v>2</v>
      </c>
      <c r="G3" s="2" t="s">
        <v>3</v>
      </c>
      <c r="H3" s="2" t="s">
        <v>4</v>
      </c>
      <c r="I3" s="2" t="s">
        <v>5</v>
      </c>
      <c r="J3" s="2" t="s">
        <v>6</v>
      </c>
      <c r="K3" s="2" t="s">
        <v>7</v>
      </c>
      <c r="L3" s="2" t="s">
        <v>8</v>
      </c>
      <c r="M3" s="2" t="s">
        <v>9</v>
      </c>
      <c r="N3" s="2" t="s">
        <v>10</v>
      </c>
      <c r="O3" s="2" t="s">
        <v>11</v>
      </c>
      <c r="P3" s="16" t="s">
        <v>26</v>
      </c>
    </row>
    <row r="4" spans="2:16" x14ac:dyDescent="0.25">
      <c r="B4" s="65" t="s">
        <v>15</v>
      </c>
      <c r="C4" s="3" t="s">
        <v>12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5"/>
      <c r="P4" s="12"/>
    </row>
    <row r="5" spans="2:16" ht="15.75" thickBot="1" x14ac:dyDescent="0.3">
      <c r="B5" s="66"/>
      <c r="C5" s="6" t="s">
        <v>13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/>
      <c r="P5" s="13"/>
    </row>
    <row r="6" spans="2:16" x14ac:dyDescent="0.25">
      <c r="B6" s="65" t="s">
        <v>16</v>
      </c>
      <c r="C6" s="3" t="s">
        <v>12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12"/>
    </row>
    <row r="7" spans="2:16" ht="15.75" thickBot="1" x14ac:dyDescent="0.3">
      <c r="B7" s="66"/>
      <c r="C7" s="6" t="s">
        <v>13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8"/>
      <c r="P7" s="13"/>
    </row>
    <row r="8" spans="2:16" x14ac:dyDescent="0.25">
      <c r="B8" s="65" t="s">
        <v>17</v>
      </c>
      <c r="C8" s="3" t="s">
        <v>12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12"/>
    </row>
    <row r="9" spans="2:16" ht="15.75" thickBot="1" x14ac:dyDescent="0.3">
      <c r="B9" s="66"/>
      <c r="C9" s="6" t="s">
        <v>13</v>
      </c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8"/>
      <c r="P9" s="13"/>
    </row>
    <row r="10" spans="2:16" x14ac:dyDescent="0.25">
      <c r="B10" s="65" t="s">
        <v>18</v>
      </c>
      <c r="C10" s="3" t="s">
        <v>12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14"/>
    </row>
    <row r="11" spans="2:16" ht="15.75" thickBot="1" x14ac:dyDescent="0.3">
      <c r="B11" s="66"/>
      <c r="C11" s="6" t="s">
        <v>13</v>
      </c>
      <c r="D11" s="7"/>
      <c r="E11" s="7"/>
      <c r="F11" s="7"/>
      <c r="G11" s="7"/>
      <c r="H11" s="7"/>
      <c r="I11" s="7"/>
      <c r="J11" s="9"/>
      <c r="K11" s="7"/>
      <c r="L11" s="7"/>
      <c r="M11" s="7"/>
      <c r="N11" s="7"/>
      <c r="O11" s="8"/>
      <c r="P11" s="15"/>
    </row>
    <row r="12" spans="2:16" x14ac:dyDescent="0.25">
      <c r="B12" s="65" t="s">
        <v>19</v>
      </c>
      <c r="C12" s="3" t="s">
        <v>12</v>
      </c>
      <c r="D12" s="4"/>
      <c r="E12" s="4"/>
      <c r="F12" s="10"/>
      <c r="G12" s="4"/>
      <c r="H12" s="4"/>
      <c r="I12" s="4"/>
      <c r="J12" s="10"/>
      <c r="K12" s="4"/>
      <c r="L12" s="4"/>
      <c r="M12" s="4"/>
      <c r="N12" s="4"/>
      <c r="O12" s="5"/>
      <c r="P12" s="12"/>
    </row>
    <row r="13" spans="2:16" ht="15.75" thickBot="1" x14ac:dyDescent="0.3">
      <c r="B13" s="66"/>
      <c r="C13" s="6" t="s">
        <v>13</v>
      </c>
      <c r="D13" s="7"/>
      <c r="E13" s="7"/>
      <c r="F13" s="9"/>
      <c r="G13" s="7"/>
      <c r="H13" s="7"/>
      <c r="I13" s="7"/>
      <c r="J13" s="9"/>
      <c r="K13" s="7"/>
      <c r="L13" s="7"/>
      <c r="M13" s="7"/>
      <c r="N13" s="7"/>
      <c r="O13" s="8"/>
      <c r="P13" s="13"/>
    </row>
    <row r="14" spans="2:16" x14ac:dyDescent="0.25">
      <c r="B14" s="65" t="s">
        <v>20</v>
      </c>
      <c r="C14" s="3" t="s">
        <v>12</v>
      </c>
      <c r="D14" s="4"/>
      <c r="E14" s="4"/>
      <c r="F14" s="10"/>
      <c r="G14" s="4"/>
      <c r="H14" s="4"/>
      <c r="I14" s="4"/>
      <c r="J14" s="10"/>
      <c r="K14" s="4"/>
      <c r="L14" s="4"/>
      <c r="M14" s="4"/>
      <c r="N14" s="4"/>
      <c r="O14" s="5"/>
      <c r="P14" s="12"/>
    </row>
    <row r="15" spans="2:16" ht="15.75" thickBot="1" x14ac:dyDescent="0.3">
      <c r="B15" s="66"/>
      <c r="C15" s="6" t="s">
        <v>13</v>
      </c>
      <c r="D15" s="7"/>
      <c r="E15" s="7"/>
      <c r="F15" s="9"/>
      <c r="G15" s="7"/>
      <c r="H15" s="7"/>
      <c r="I15" s="7"/>
      <c r="J15" s="9"/>
      <c r="K15" s="7"/>
      <c r="L15" s="7"/>
      <c r="M15" s="7"/>
      <c r="N15" s="7"/>
      <c r="O15" s="8"/>
      <c r="P15" s="13"/>
    </row>
    <row r="16" spans="2:16" x14ac:dyDescent="0.25">
      <c r="B16" s="65" t="s">
        <v>21</v>
      </c>
      <c r="C16" s="3" t="s">
        <v>12</v>
      </c>
      <c r="D16" s="4"/>
      <c r="E16" s="4"/>
      <c r="F16" s="4"/>
      <c r="G16" s="4"/>
      <c r="H16" s="4"/>
      <c r="I16" s="4"/>
      <c r="J16" s="10"/>
      <c r="K16" s="4"/>
      <c r="L16" s="4"/>
      <c r="M16" s="4"/>
      <c r="N16" s="4"/>
      <c r="O16" s="5"/>
      <c r="P16" s="12"/>
    </row>
    <row r="17" spans="2:16" ht="15.75" thickBot="1" x14ac:dyDescent="0.3">
      <c r="B17" s="66"/>
      <c r="C17" s="6" t="s">
        <v>13</v>
      </c>
      <c r="D17" s="7"/>
      <c r="E17" s="7"/>
      <c r="F17" s="7"/>
      <c r="G17" s="7"/>
      <c r="H17" s="7"/>
      <c r="I17" s="7"/>
      <c r="J17" s="9"/>
      <c r="K17" s="7"/>
      <c r="L17" s="7"/>
      <c r="M17" s="7"/>
      <c r="N17" s="7"/>
      <c r="O17" s="8"/>
      <c r="P17" s="13"/>
    </row>
    <row r="18" spans="2:16" x14ac:dyDescent="0.25">
      <c r="B18" s="65" t="s">
        <v>22</v>
      </c>
      <c r="C18" s="3" t="s">
        <v>12</v>
      </c>
      <c r="D18" s="4"/>
      <c r="E18" s="4"/>
      <c r="F18" s="10"/>
      <c r="G18" s="4"/>
      <c r="H18" s="4"/>
      <c r="I18" s="4"/>
      <c r="J18" s="10"/>
      <c r="K18" s="4"/>
      <c r="L18" s="4"/>
      <c r="M18" s="4"/>
      <c r="N18" s="4"/>
      <c r="O18" s="5"/>
      <c r="P18" s="12"/>
    </row>
    <row r="19" spans="2:16" ht="15.75" thickBot="1" x14ac:dyDescent="0.3">
      <c r="B19" s="66"/>
      <c r="C19" s="6" t="s">
        <v>13</v>
      </c>
      <c r="D19" s="7"/>
      <c r="E19" s="7"/>
      <c r="F19" s="9"/>
      <c r="G19" s="7"/>
      <c r="H19" s="7"/>
      <c r="I19" s="7"/>
      <c r="J19" s="9"/>
      <c r="K19" s="7"/>
      <c r="L19" s="7"/>
      <c r="M19" s="7"/>
      <c r="N19" s="7"/>
      <c r="O19" s="8"/>
      <c r="P19" s="13"/>
    </row>
    <row r="20" spans="2:16" x14ac:dyDescent="0.25">
      <c r="B20" s="65" t="s">
        <v>23</v>
      </c>
      <c r="C20" s="3" t="s">
        <v>12</v>
      </c>
      <c r="D20" s="4"/>
      <c r="E20" s="4"/>
      <c r="F20" s="10"/>
      <c r="G20" s="4"/>
      <c r="H20" s="4"/>
      <c r="I20" s="4"/>
      <c r="J20" s="10"/>
      <c r="K20" s="4"/>
      <c r="L20" s="4"/>
      <c r="M20" s="4"/>
      <c r="N20" s="4"/>
      <c r="O20" s="5"/>
      <c r="P20" s="12"/>
    </row>
    <row r="21" spans="2:16" ht="15.75" thickBot="1" x14ac:dyDescent="0.3">
      <c r="B21" s="66"/>
      <c r="C21" s="6" t="s">
        <v>13</v>
      </c>
      <c r="D21" s="7"/>
      <c r="E21" s="7"/>
      <c r="F21" s="9"/>
      <c r="G21" s="7"/>
      <c r="H21" s="7"/>
      <c r="I21" s="7"/>
      <c r="J21" s="9"/>
      <c r="K21" s="7"/>
      <c r="L21" s="7"/>
      <c r="M21" s="7"/>
      <c r="N21" s="7"/>
      <c r="O21" s="8"/>
      <c r="P21" s="13"/>
    </row>
    <row r="22" spans="2:16" x14ac:dyDescent="0.25">
      <c r="B22" s="65" t="s">
        <v>24</v>
      </c>
      <c r="C22" s="3" t="s">
        <v>12</v>
      </c>
      <c r="D22" s="4"/>
      <c r="E22" s="4"/>
      <c r="F22" s="4"/>
      <c r="G22" s="4"/>
      <c r="H22" s="4"/>
      <c r="I22" s="4"/>
      <c r="J22" s="10"/>
      <c r="K22" s="4"/>
      <c r="L22" s="4"/>
      <c r="M22" s="4"/>
      <c r="N22" s="4"/>
      <c r="O22" s="5"/>
      <c r="P22" s="14"/>
    </row>
    <row r="23" spans="2:16" ht="15.75" thickBot="1" x14ac:dyDescent="0.3">
      <c r="B23" s="66"/>
      <c r="C23" s="6" t="s">
        <v>13</v>
      </c>
      <c r="D23" s="7"/>
      <c r="E23" s="7"/>
      <c r="F23" s="7"/>
      <c r="G23" s="7"/>
      <c r="H23" s="7"/>
      <c r="I23" s="7"/>
      <c r="J23" s="9"/>
      <c r="K23" s="7"/>
      <c r="L23" s="7"/>
      <c r="M23" s="7"/>
      <c r="N23" s="7"/>
      <c r="O23" s="8"/>
      <c r="P23" s="15"/>
    </row>
    <row r="25" spans="2:16" x14ac:dyDescent="0.25">
      <c r="B25" t="s">
        <v>13</v>
      </c>
      <c r="C25" t="s">
        <v>27</v>
      </c>
    </row>
    <row r="26" spans="2:16" x14ac:dyDescent="0.25">
      <c r="B26" t="s">
        <v>12</v>
      </c>
      <c r="C26" t="s">
        <v>28</v>
      </c>
    </row>
    <row r="27" spans="2:16" x14ac:dyDescent="0.25">
      <c r="B27" t="s">
        <v>29</v>
      </c>
    </row>
  </sheetData>
  <mergeCells count="12">
    <mergeCell ref="B2:C3"/>
    <mergeCell ref="D2:O2"/>
    <mergeCell ref="B16:B17"/>
    <mergeCell ref="B18:B19"/>
    <mergeCell ref="B20:B21"/>
    <mergeCell ref="B22:B23"/>
    <mergeCell ref="B4:B5"/>
    <mergeCell ref="B6:B7"/>
    <mergeCell ref="B8:B9"/>
    <mergeCell ref="B10:B11"/>
    <mergeCell ref="B12:B13"/>
    <mergeCell ref="B14:B1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InsConsultant"/>
  <dimension ref="A1:P27"/>
  <sheetViews>
    <sheetView workbookViewId="0">
      <selection activeCell="F22" sqref="F22"/>
    </sheetView>
  </sheetViews>
  <sheetFormatPr defaultRowHeight="15" x14ac:dyDescent="0.25"/>
  <cols>
    <col min="2" max="2" width="30.140625" customWidth="1"/>
    <col min="3" max="3" width="7.85546875" bestFit="1" customWidth="1"/>
    <col min="4" max="15" width="11.140625" customWidth="1"/>
    <col min="16" max="16" width="11" bestFit="1" customWidth="1"/>
  </cols>
  <sheetData>
    <row r="1" spans="1:16" ht="30.75" thickBot="1" x14ac:dyDescent="0.3">
      <c r="A1" s="3" t="s">
        <v>39</v>
      </c>
      <c r="B1" s="18" t="s">
        <v>41</v>
      </c>
    </row>
    <row r="2" spans="1:16" ht="30.75" thickBot="1" x14ac:dyDescent="0.3">
      <c r="A2" s="6" t="s">
        <v>40</v>
      </c>
      <c r="B2" s="18" t="s">
        <v>42</v>
      </c>
      <c r="D2" s="62">
        <v>2016</v>
      </c>
      <c r="E2" s="63"/>
      <c r="F2" s="63"/>
      <c r="G2" s="63"/>
      <c r="H2" s="63"/>
      <c r="I2" s="63"/>
      <c r="J2" s="63"/>
      <c r="K2" s="63"/>
      <c r="L2" s="63"/>
      <c r="M2" s="63"/>
      <c r="N2" s="63"/>
      <c r="O2" s="64"/>
    </row>
    <row r="3" spans="1:16" ht="15.75" thickBot="1" x14ac:dyDescent="0.3">
      <c r="D3" s="2" t="s">
        <v>0</v>
      </c>
      <c r="E3" s="2" t="s">
        <v>1</v>
      </c>
      <c r="F3" s="2" t="s">
        <v>2</v>
      </c>
      <c r="G3" s="2" t="s">
        <v>3</v>
      </c>
      <c r="H3" s="2" t="s">
        <v>4</v>
      </c>
      <c r="I3" s="2" t="s">
        <v>5</v>
      </c>
      <c r="J3" s="2" t="s">
        <v>6</v>
      </c>
      <c r="K3" s="2" t="s">
        <v>7</v>
      </c>
      <c r="L3" s="2" t="s">
        <v>8</v>
      </c>
      <c r="M3" s="2" t="s">
        <v>9</v>
      </c>
      <c r="N3" s="2" t="s">
        <v>10</v>
      </c>
      <c r="O3" s="2" t="s">
        <v>11</v>
      </c>
      <c r="P3" s="16" t="s">
        <v>26</v>
      </c>
    </row>
    <row r="4" spans="1:16" x14ac:dyDescent="0.25">
      <c r="B4" s="1" t="s">
        <v>30</v>
      </c>
      <c r="C4" s="3" t="s">
        <v>39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5"/>
      <c r="P4" s="12"/>
    </row>
    <row r="5" spans="1:16" ht="15.75" thickBot="1" x14ac:dyDescent="0.3">
      <c r="B5" s="17"/>
      <c r="C5" s="6" t="s">
        <v>40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/>
      <c r="P5" s="13"/>
    </row>
    <row r="6" spans="1:16" x14ac:dyDescent="0.25">
      <c r="B6" s="1" t="s">
        <v>31</v>
      </c>
      <c r="C6" s="3" t="s">
        <v>39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12"/>
    </row>
    <row r="7" spans="1:16" ht="15.75" thickBot="1" x14ac:dyDescent="0.3">
      <c r="B7" s="17"/>
      <c r="C7" s="6" t="s">
        <v>40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8"/>
      <c r="P7" s="13"/>
    </row>
    <row r="8" spans="1:16" x14ac:dyDescent="0.25">
      <c r="B8" s="1" t="s">
        <v>17</v>
      </c>
      <c r="C8" s="3" t="s">
        <v>39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12"/>
    </row>
    <row r="9" spans="1:16" ht="15.75" thickBot="1" x14ac:dyDescent="0.3">
      <c r="B9" s="17"/>
      <c r="C9" s="6" t="s">
        <v>40</v>
      </c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8"/>
      <c r="P9" s="13"/>
    </row>
    <row r="10" spans="1:16" x14ac:dyDescent="0.25">
      <c r="B10" s="1" t="s">
        <v>32</v>
      </c>
      <c r="C10" s="3" t="s">
        <v>39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14"/>
    </row>
    <row r="11" spans="1:16" ht="15.75" thickBot="1" x14ac:dyDescent="0.3">
      <c r="B11" s="17"/>
      <c r="C11" s="6" t="s">
        <v>40</v>
      </c>
      <c r="D11" s="7"/>
      <c r="E11" s="7"/>
      <c r="F11" s="7"/>
      <c r="G11" s="7"/>
      <c r="H11" s="7"/>
      <c r="I11" s="7"/>
      <c r="J11" s="9"/>
      <c r="K11" s="7"/>
      <c r="L11" s="7"/>
      <c r="M11" s="7"/>
      <c r="N11" s="7"/>
      <c r="O11" s="8"/>
      <c r="P11" s="15"/>
    </row>
    <row r="12" spans="1:16" x14ac:dyDescent="0.25">
      <c r="B12" s="1" t="s">
        <v>33</v>
      </c>
      <c r="C12" s="3" t="s">
        <v>39</v>
      </c>
      <c r="D12" s="4"/>
      <c r="E12" s="4"/>
      <c r="F12" s="10"/>
      <c r="G12" s="4"/>
      <c r="H12" s="4"/>
      <c r="I12" s="4"/>
      <c r="J12" s="10"/>
      <c r="K12" s="4"/>
      <c r="L12" s="4"/>
      <c r="M12" s="4"/>
      <c r="N12" s="4"/>
      <c r="O12" s="5"/>
      <c r="P12" s="12"/>
    </row>
    <row r="13" spans="1:16" ht="15.75" thickBot="1" x14ac:dyDescent="0.3">
      <c r="B13" s="17"/>
      <c r="C13" s="6" t="s">
        <v>40</v>
      </c>
      <c r="D13" s="7"/>
      <c r="E13" s="7"/>
      <c r="F13" s="9"/>
      <c r="G13" s="7"/>
      <c r="H13" s="7"/>
      <c r="I13" s="7"/>
      <c r="J13" s="9"/>
      <c r="K13" s="7"/>
      <c r="L13" s="7"/>
      <c r="M13" s="7"/>
      <c r="N13" s="7"/>
      <c r="O13" s="8"/>
      <c r="P13" s="13"/>
    </row>
    <row r="14" spans="1:16" x14ac:dyDescent="0.25">
      <c r="B14" s="1" t="s">
        <v>34</v>
      </c>
      <c r="C14" s="3" t="s">
        <v>39</v>
      </c>
      <c r="D14" s="4"/>
      <c r="E14" s="4"/>
      <c r="F14" s="10"/>
      <c r="G14" s="4"/>
      <c r="H14" s="4"/>
      <c r="I14" s="4"/>
      <c r="J14" s="10"/>
      <c r="K14" s="4"/>
      <c r="L14" s="4"/>
      <c r="M14" s="4"/>
      <c r="N14" s="4"/>
      <c r="O14" s="5"/>
      <c r="P14" s="12"/>
    </row>
    <row r="15" spans="1:16" ht="15.75" thickBot="1" x14ac:dyDescent="0.3">
      <c r="B15" s="17"/>
      <c r="C15" s="6" t="s">
        <v>40</v>
      </c>
      <c r="D15" s="7"/>
      <c r="E15" s="7"/>
      <c r="F15" s="9"/>
      <c r="G15" s="7"/>
      <c r="H15" s="7"/>
      <c r="I15" s="7"/>
      <c r="J15" s="9"/>
      <c r="K15" s="7"/>
      <c r="L15" s="7"/>
      <c r="M15" s="7"/>
      <c r="N15" s="7"/>
      <c r="O15" s="8"/>
      <c r="P15" s="13"/>
    </row>
    <row r="16" spans="1:16" x14ac:dyDescent="0.25">
      <c r="B16" s="1" t="s">
        <v>35</v>
      </c>
      <c r="C16" s="3" t="s">
        <v>39</v>
      </c>
      <c r="D16" s="4"/>
      <c r="E16" s="4"/>
      <c r="F16" s="4"/>
      <c r="G16" s="4"/>
      <c r="H16" s="4"/>
      <c r="I16" s="4"/>
      <c r="J16" s="10"/>
      <c r="K16" s="4"/>
      <c r="L16" s="4"/>
      <c r="M16" s="4"/>
      <c r="N16" s="4"/>
      <c r="O16" s="5"/>
      <c r="P16" s="12"/>
    </row>
    <row r="17" spans="2:16" ht="15.75" thickBot="1" x14ac:dyDescent="0.3">
      <c r="B17" s="17"/>
      <c r="C17" s="6" t="s">
        <v>40</v>
      </c>
      <c r="D17" s="7"/>
      <c r="E17" s="7"/>
      <c r="F17" s="7"/>
      <c r="G17" s="7"/>
      <c r="H17" s="7"/>
      <c r="I17" s="7"/>
      <c r="J17" s="9"/>
      <c r="K17" s="7"/>
      <c r="L17" s="7"/>
      <c r="M17" s="7"/>
      <c r="N17" s="7"/>
      <c r="O17" s="8"/>
      <c r="P17" s="13"/>
    </row>
    <row r="18" spans="2:16" x14ac:dyDescent="0.25">
      <c r="B18" s="1" t="s">
        <v>36</v>
      </c>
      <c r="C18" s="3" t="s">
        <v>39</v>
      </c>
      <c r="D18" s="4"/>
      <c r="E18" s="4"/>
      <c r="F18" s="10"/>
      <c r="G18" s="4"/>
      <c r="H18" s="4"/>
      <c r="I18" s="4"/>
      <c r="J18" s="10"/>
      <c r="K18" s="4"/>
      <c r="L18" s="4"/>
      <c r="M18" s="4"/>
      <c r="N18" s="4"/>
      <c r="O18" s="5"/>
      <c r="P18" s="12"/>
    </row>
    <row r="19" spans="2:16" ht="15.75" thickBot="1" x14ac:dyDescent="0.3">
      <c r="B19" s="17"/>
      <c r="C19" s="6" t="s">
        <v>40</v>
      </c>
      <c r="D19" s="7"/>
      <c r="E19" s="7"/>
      <c r="F19" s="9"/>
      <c r="G19" s="7"/>
      <c r="H19" s="7"/>
      <c r="I19" s="7"/>
      <c r="J19" s="9"/>
      <c r="K19" s="7"/>
      <c r="L19" s="7"/>
      <c r="M19" s="7"/>
      <c r="N19" s="7"/>
      <c r="O19" s="8"/>
      <c r="P19" s="13"/>
    </row>
    <row r="20" spans="2:16" x14ac:dyDescent="0.25">
      <c r="B20" s="1" t="s">
        <v>37</v>
      </c>
      <c r="C20" s="3" t="s">
        <v>39</v>
      </c>
      <c r="D20" s="4"/>
      <c r="E20" s="4"/>
      <c r="F20" s="10"/>
      <c r="G20" s="4"/>
      <c r="H20" s="4"/>
      <c r="I20" s="4"/>
      <c r="J20" s="10"/>
      <c r="K20" s="4"/>
      <c r="L20" s="4"/>
      <c r="M20" s="4"/>
      <c r="N20" s="4"/>
      <c r="O20" s="5"/>
      <c r="P20" s="12"/>
    </row>
    <row r="21" spans="2:16" ht="15.75" thickBot="1" x14ac:dyDescent="0.3">
      <c r="B21" s="17"/>
      <c r="C21" s="6" t="s">
        <v>40</v>
      </c>
      <c r="D21" s="7"/>
      <c r="E21" s="7"/>
      <c r="F21" s="9"/>
      <c r="G21" s="7"/>
      <c r="H21" s="7"/>
      <c r="I21" s="7"/>
      <c r="J21" s="9"/>
      <c r="K21" s="7"/>
      <c r="L21" s="7"/>
      <c r="M21" s="7"/>
      <c r="N21" s="7"/>
      <c r="O21" s="8"/>
      <c r="P21" s="13"/>
    </row>
    <row r="22" spans="2:16" x14ac:dyDescent="0.25">
      <c r="B22" s="1" t="s">
        <v>38</v>
      </c>
      <c r="C22" s="3" t="s">
        <v>39</v>
      </c>
      <c r="D22" s="4"/>
      <c r="E22" s="4"/>
      <c r="F22" s="4"/>
      <c r="G22" s="4"/>
      <c r="H22" s="4"/>
      <c r="I22" s="4"/>
      <c r="J22" s="10"/>
      <c r="K22" s="4"/>
      <c r="L22" s="4"/>
      <c r="M22" s="4"/>
      <c r="N22" s="4"/>
      <c r="O22" s="5"/>
      <c r="P22" s="14"/>
    </row>
    <row r="23" spans="2:16" ht="15.75" thickBot="1" x14ac:dyDescent="0.3">
      <c r="B23" s="17"/>
      <c r="C23" s="6" t="s">
        <v>40</v>
      </c>
      <c r="D23" s="7"/>
      <c r="E23" s="7"/>
      <c r="F23" s="7"/>
      <c r="G23" s="7"/>
      <c r="H23" s="7"/>
      <c r="I23" s="7"/>
      <c r="J23" s="9"/>
      <c r="K23" s="7"/>
      <c r="L23" s="7"/>
      <c r="M23" s="7"/>
      <c r="N23" s="7"/>
      <c r="O23" s="8"/>
      <c r="P23" s="15"/>
    </row>
    <row r="25" spans="2:16" x14ac:dyDescent="0.25">
      <c r="B25" t="s">
        <v>13</v>
      </c>
      <c r="C25" t="s">
        <v>27</v>
      </c>
    </row>
    <row r="26" spans="2:16" x14ac:dyDescent="0.25">
      <c r="B26" t="s">
        <v>12</v>
      </c>
      <c r="C26" t="s">
        <v>28</v>
      </c>
    </row>
    <row r="27" spans="2:16" x14ac:dyDescent="0.25">
      <c r="B27" t="s">
        <v>29</v>
      </c>
    </row>
  </sheetData>
  <mergeCells count="1">
    <mergeCell ref="D2:O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Zakresy nazwane</vt:lpstr>
      </vt:variant>
      <vt:variant>
        <vt:i4>22</vt:i4>
      </vt:variant>
    </vt:vector>
  </HeadingPairs>
  <TitlesOfParts>
    <vt:vector size="30" baseType="lpstr">
      <vt:lpstr>Config</vt:lpstr>
      <vt:lpstr>TestData</vt:lpstr>
      <vt:lpstr>Industry groups</vt:lpstr>
      <vt:lpstr>Growth bet</vt:lpstr>
      <vt:lpstr>Strategic Clients</vt:lpstr>
      <vt:lpstr>Platinium Clients</vt:lpstr>
      <vt:lpstr>Sales Consultants</vt:lpstr>
      <vt:lpstr>Insight Consultants</vt:lpstr>
      <vt:lpstr>'Growth bet'!DataGridHandle</vt:lpstr>
      <vt:lpstr>'Industry groups'!DataGridHandle</vt:lpstr>
      <vt:lpstr>'Platinium Clients'!DataGridHandle</vt:lpstr>
      <vt:lpstr>'Strategic Clients'!DataGridHandle</vt:lpstr>
      <vt:lpstr>TestData!DataGridHandle</vt:lpstr>
      <vt:lpstr>Config!DataSourcefile</vt:lpstr>
      <vt:lpstr>'Growth bet'!LastRefreshTimestamp</vt:lpstr>
      <vt:lpstr>'Industry groups'!LastRefreshTimestamp</vt:lpstr>
      <vt:lpstr>'Platinium Clients'!LastRefreshTimestamp</vt:lpstr>
      <vt:lpstr>'Strategic Clients'!LastRefreshTimestamp</vt:lpstr>
      <vt:lpstr>RepDefGrBet</vt:lpstr>
      <vt:lpstr>RepDefGrBetAll</vt:lpstr>
      <vt:lpstr>RepDefIndGrp_v1</vt:lpstr>
      <vt:lpstr>RepDefIndGrp_v2</vt:lpstr>
      <vt:lpstr>RepDefIndGrp_v3</vt:lpstr>
      <vt:lpstr>RepDefIndGrp_v4</vt:lpstr>
      <vt:lpstr>RepDefPlatCli</vt:lpstr>
      <vt:lpstr>RepDefSlsCons</vt:lpstr>
      <vt:lpstr>RepDefStrategicCli_v1</vt:lpstr>
      <vt:lpstr>RepDefStrategicCli_v2</vt:lpstr>
      <vt:lpstr>RepDefStrategicCli_v3</vt:lpstr>
      <vt:lpstr>RepSlsConsMulti</vt:lpstr>
    </vt:vector>
  </TitlesOfParts>
  <Company>Nielsen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Krzesinska-Jagiello, Agnieszka</dc:creator>
  <cp:lastModifiedBy>Zien, Kamil</cp:lastModifiedBy>
  <dcterms:created xsi:type="dcterms:W3CDTF">2016-01-21T07:48:20Z</dcterms:created>
  <dcterms:modified xsi:type="dcterms:W3CDTF">2016-03-23T10:56:52Z</dcterms:modified>
</cp:coreProperties>
</file>